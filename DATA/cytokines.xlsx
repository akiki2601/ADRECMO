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hasadoune/Desktop/ADRECMO/Luminex sur ADRECMO/"/>
    </mc:Choice>
  </mc:AlternateContent>
  <xr:revisionPtr revIDLastSave="0" documentId="13_ncr:1_{D6F9E10D-6E6A-874A-93D7-F97CF2CBC62B}" xr6:coauthVersionLast="36" xr6:coauthVersionMax="36" xr10:uidLastSave="{00000000-0000-0000-0000-000000000000}"/>
  <bookViews>
    <workbookView xWindow="9600" yWindow="960" windowWidth="32420" windowHeight="19260" activeTab="1" xr2:uid="{3942581C-EC65-2E47-BB0A-B2B12DF469AF}"/>
  </bookViews>
  <sheets>
    <sheet name="Results-VlookUp" sheetId="1" r:id="rId1"/>
    <sheet name="calculs OOR" sheetId="6" r:id="rId2"/>
    <sheet name="Obs Conc_1" sheetId="2" r:id="rId3"/>
    <sheet name="Obs Conc %CV_1" sheetId="3" r:id="rId4"/>
    <sheet name="Obs Conc_2" sheetId="4" r:id="rId5"/>
    <sheet name="Obs Conc %CV_2" sheetId="5" r:id="rId6"/>
    <sheet name="Final Result" sheetId="7" r:id="rId7"/>
  </sheets>
  <definedNames>
    <definedName name="_xlnm._FilterDatabase" localSheetId="1" hidden="1">'calculs OOR'!$A$1:$AG$113</definedName>
    <definedName name="_xlnm._FilterDatabase" localSheetId="6" hidden="1">'Final Result'!$A$1:$AG$113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16" i="6" l="1"/>
  <c r="T116" i="6"/>
  <c r="R116" i="6"/>
  <c r="P116" i="6"/>
  <c r="N116" i="6"/>
  <c r="F116" i="6"/>
  <c r="F109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AG58" i="1"/>
  <c r="AE58" i="1"/>
  <c r="AC58" i="1"/>
  <c r="AA58" i="1"/>
  <c r="Y58" i="1"/>
  <c r="W58" i="1"/>
  <c r="U58" i="1"/>
  <c r="S58" i="1"/>
  <c r="Q58" i="1"/>
  <c r="O58" i="1"/>
  <c r="M58" i="1"/>
  <c r="K58" i="1"/>
  <c r="I58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AG2" i="1"/>
  <c r="AE2" i="1"/>
  <c r="F2" i="1"/>
  <c r="H2" i="1"/>
  <c r="J2" i="1"/>
  <c r="L2" i="1"/>
  <c r="N2" i="1"/>
  <c r="P2" i="1"/>
  <c r="R2" i="1"/>
  <c r="T2" i="1"/>
  <c r="V2" i="1"/>
  <c r="X2" i="1"/>
  <c r="Z2" i="1"/>
  <c r="AB2" i="1"/>
  <c r="AC2" i="1"/>
  <c r="AA2" i="1"/>
  <c r="Y2" i="1"/>
  <c r="W2" i="1"/>
  <c r="U2" i="1"/>
  <c r="S2" i="1"/>
  <c r="Q2" i="1"/>
  <c r="O2" i="1"/>
  <c r="M2" i="1"/>
  <c r="K2" i="1"/>
  <c r="G2" i="1"/>
  <c r="I59" i="1" l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2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5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58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2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58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2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58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58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58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58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58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5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58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5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5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10" i="1"/>
  <c r="F111" i="1"/>
  <c r="F112" i="1"/>
  <c r="F113" i="1"/>
  <c r="F5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</calcChain>
</file>

<file path=xl/sharedStrings.xml><?xml version="1.0" encoding="utf-8"?>
<sst xmlns="http://schemas.openxmlformats.org/spreadsheetml/2006/main" count="9176" uniqueCount="594">
  <si>
    <t>serum</t>
  </si>
  <si>
    <t>ADRECMO-50_SR_JS</t>
  </si>
  <si>
    <t>box 2</t>
  </si>
  <si>
    <t>ADRECMO</t>
  </si>
  <si>
    <t>ADRECMO-50_SR_J0</t>
  </si>
  <si>
    <t>ADRECMO-49_SR_JS</t>
  </si>
  <si>
    <t>ADRECMO-49_SR_J4</t>
  </si>
  <si>
    <t>ADRECMO-49_SR_J0</t>
  </si>
  <si>
    <t>ADRECMO-48_SR_J3</t>
  </si>
  <si>
    <t>ADRECMO-48_SR_J0</t>
  </si>
  <si>
    <t>ADRECMO-47_SR_JS</t>
  </si>
  <si>
    <t>ADRECMO-47_SR_J3-5</t>
  </si>
  <si>
    <t>ADRECMO-47_SR_J0</t>
  </si>
  <si>
    <t>ADRECMO-46_SR_JS</t>
  </si>
  <si>
    <t>ADRECMO-46_SR_J3-J5</t>
  </si>
  <si>
    <t>ADRECMO-46_SR_J0</t>
  </si>
  <si>
    <t>ADRECMO-45_SR_JS</t>
  </si>
  <si>
    <t>ADRECMO-45_SR_J3-J5</t>
  </si>
  <si>
    <t>ADRECMO-45_SR_J0</t>
  </si>
  <si>
    <t>ADRECMO-44_SR_J5</t>
  </si>
  <si>
    <t>ADRECMO-44_SR_J0</t>
  </si>
  <si>
    <t>ADRECMO-43_SR_J5</t>
  </si>
  <si>
    <t>ADRECMO-43_SR_J0</t>
  </si>
  <si>
    <t>ADRECMO-42_SR_JS</t>
  </si>
  <si>
    <t>ADRECMO-42_SR_J0</t>
  </si>
  <si>
    <t>ADRECMO-41_SR_JS</t>
  </si>
  <si>
    <t>ADRECMO-40_JS</t>
  </si>
  <si>
    <t>ADRECMO-41_SR_J0</t>
  </si>
  <si>
    <t>ADRECMO-40_SR_J3</t>
  </si>
  <si>
    <t>ADRECMO-40_SR_J0</t>
  </si>
  <si>
    <t>ADRECMO-39_SR_J0</t>
  </si>
  <si>
    <t>ADRECMO-38_SR_J3</t>
  </si>
  <si>
    <t>ADRECMO-37_SR_J4</t>
  </si>
  <si>
    <t>ADRECMO-38_SR_J0</t>
  </si>
  <si>
    <t>ADRECMO-36_SR_JS</t>
  </si>
  <si>
    <t>box 1</t>
  </si>
  <si>
    <t>ADRECMO-37_SR_J0</t>
  </si>
  <si>
    <t>ADRECMO-36_SR_J3</t>
  </si>
  <si>
    <t>ADRECMO-36_SR_J0</t>
  </si>
  <si>
    <t>ADRECMO-35_SR_J0</t>
  </si>
  <si>
    <t>ADRECMO-34_SR_J0</t>
  </si>
  <si>
    <t>ADRECMO-33_SR_J0</t>
  </si>
  <si>
    <t>ADRECMO-31_SR_JS</t>
  </si>
  <si>
    <t>ADRECMO-32_SR_J3</t>
  </si>
  <si>
    <t>ADRECMO-32_SR_J0</t>
  </si>
  <si>
    <t>ADRECMO-31_SR_J3-5</t>
  </si>
  <si>
    <t>ADRECMO-30_SR_JSEVRAGE</t>
  </si>
  <si>
    <t>ADRECMO-31_SR_J0</t>
  </si>
  <si>
    <t>ADRECMO-30_SR_J3-J5</t>
  </si>
  <si>
    <t>ADRECMO-30_SR_J0</t>
  </si>
  <si>
    <t>ADRECMO-29_SR_JS</t>
  </si>
  <si>
    <t>ADRECMO-29_SR_J5</t>
  </si>
  <si>
    <t>ADRECMO-28_SR_J3</t>
  </si>
  <si>
    <t>ADRECMO-29_SR_J0</t>
  </si>
  <si>
    <t>ADRECMO-28_SR_J0</t>
  </si>
  <si>
    <t>ADRECMO-27_SR_J5</t>
  </si>
  <si>
    <t>ADRECMO-27_SR_J0</t>
  </si>
  <si>
    <t>ADRECMO-26_SR_JS</t>
  </si>
  <si>
    <t>ADRECMO-26_SR_J3</t>
  </si>
  <si>
    <t>ADRECMO-26_SR_J0</t>
  </si>
  <si>
    <t>ADRECMO-25_SR_JS</t>
  </si>
  <si>
    <t>ADRECMO-25_SR_J3</t>
  </si>
  <si>
    <t>ADRECMO-25_SR_J0</t>
  </si>
  <si>
    <t>ADRECMO-24_SR_JS</t>
  </si>
  <si>
    <t>ADRECMO-24_SR_J0</t>
  </si>
  <si>
    <t>ADRECMO-23_SR_JS</t>
  </si>
  <si>
    <t>ADRECMO-23_SR_J3</t>
  </si>
  <si>
    <t>ADRECMO-23_SR_J0</t>
  </si>
  <si>
    <t>ADRECMO-22_SR_JS</t>
  </si>
  <si>
    <t>ADRECMO-22_SR_J0</t>
  </si>
  <si>
    <t>ADRECMO-20_SR_JS</t>
  </si>
  <si>
    <t>ADRECMO-21_SR_J0</t>
  </si>
  <si>
    <t>ADRECMO-20_SR_J3</t>
  </si>
  <si>
    <t>ADRECMO-19_SR_JS</t>
  </si>
  <si>
    <t>ADRECMO-20_SR_J0</t>
  </si>
  <si>
    <t>ADRECMO-19_SR_J3</t>
  </si>
  <si>
    <t>ADRECMO-19_SR_J0</t>
  </si>
  <si>
    <t>ADRECMO-18_SR_J0</t>
  </si>
  <si>
    <t>ADRECMO-17_SR_J0</t>
  </si>
  <si>
    <t>ADRECMO-15_SR_J0</t>
  </si>
  <si>
    <t>ADRECMO-16_SR_JS</t>
  </si>
  <si>
    <t>ADRECMO-16_SR_J3</t>
  </si>
  <si>
    <t>ADRECMO-16_SR_J0</t>
  </si>
  <si>
    <t>ADRECMO-14_SR_J0</t>
  </si>
  <si>
    <t>ADRECMO-13_SR_J3</t>
  </si>
  <si>
    <t>ADRECMO-13_SR_J0</t>
  </si>
  <si>
    <t>ADRECMO-11_SR_JS</t>
  </si>
  <si>
    <t>ADRECMO-11_SR_J3-J5</t>
  </si>
  <si>
    <t>ADRECMO-11_SR_J0</t>
  </si>
  <si>
    <t>ADRECMO-10_SR_JS</t>
  </si>
  <si>
    <t>ADRECMO-10_SR_J0</t>
  </si>
  <si>
    <t>ADRECMO-09_SR_J3</t>
  </si>
  <si>
    <t>ADRECMO-09_SR_J0</t>
  </si>
  <si>
    <t>ADRECMO-08_SR_JS</t>
  </si>
  <si>
    <t>ADRECMO-08_SR_J3</t>
  </si>
  <si>
    <t>ADRECMO-08_SR_J0</t>
  </si>
  <si>
    <t>ADRECMO-07_SR_JS</t>
  </si>
  <si>
    <t>ADRECMO-07_SR_J3</t>
  </si>
  <si>
    <t>ADRECMO-07_SR_J0</t>
  </si>
  <si>
    <t>ADRECMO-06_SR_JS</t>
  </si>
  <si>
    <t>ADRECMO-06_SR_J3</t>
  </si>
  <si>
    <t>ADRECMO-06_SR_J0</t>
  </si>
  <si>
    <t>ADRECMO-05_SR_J3</t>
  </si>
  <si>
    <t>ADRECMO-05_SR_J0</t>
  </si>
  <si>
    <t>ADRECMO-04_SR_JS</t>
  </si>
  <si>
    <t>ADRECMO-04_SR_J3</t>
  </si>
  <si>
    <t>ADRECMO-04_SR_J0</t>
  </si>
  <si>
    <t>ADRECMO-03_SR_JS</t>
  </si>
  <si>
    <t>ADRECMO-03_SR_J3</t>
  </si>
  <si>
    <t>ADRECMO-03_SR_J0</t>
  </si>
  <si>
    <t>ADRECMO-02_SR_JS</t>
  </si>
  <si>
    <t>ADRECMO-02_SR_J3-J5</t>
  </si>
  <si>
    <t>ADRECMO-02_SR_J0</t>
  </si>
  <si>
    <t>ADRECMO-01_SR_JS</t>
  </si>
  <si>
    <t>ADRECMO-01_SR_J3-J5</t>
  </si>
  <si>
    <t>ADRECMO-01_SR_J0</t>
  </si>
  <si>
    <t>Type</t>
  </si>
  <si>
    <t>Sample ID number</t>
  </si>
  <si>
    <t>box n°</t>
  </si>
  <si>
    <t>Study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</si>
  <si>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</si>
  <si>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</si>
  <si>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</si>
  <si>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</si>
  <si>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</si>
  <si>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</si>
  <si>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</si>
  <si>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</si>
  <si>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</si>
  <si>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</si>
  <si>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</si>
  <si>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</si>
  <si>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</si>
  <si>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</si>
  <si>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</si>
  <si>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</si>
  <si>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</si>
  <si>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</si>
  <si>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</si>
  <si>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</si>
  <si>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</si>
  <si>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</si>
  <si>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</si>
  <si>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</si>
  <si>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</si>
  <si>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</si>
  <si>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</si>
  <si>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</si>
  <si>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</si>
  <si>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</si>
  <si>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</si>
  <si>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</si>
  <si>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</si>
  <si>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</si>
  <si>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</si>
  <si>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</si>
  <si>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</si>
  <si>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</si>
  <si>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</si>
  <si>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</si>
  <si>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</si>
  <si>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</si>
  <si>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</si>
  <si>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</si>
  <si>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</si>
  <si>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</si>
  <si>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</si>
  <si>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</si>
  <si>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</si>
  <si>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</si>
  <si>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</si>
  <si>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</si>
  <si>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</si>
  <si>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</si>
  <si>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</si>
  <si>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</si>
  <si>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</si>
  <si>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</si>
  <si>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</si>
  <si>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</si>
  <si>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</si>
  <si>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</si>
  <si>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</si>
  <si>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</si>
  <si>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</si>
  <si>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</si>
  <si>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</si>
  <si>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</si>
  <si>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</si>
  <si>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</si>
  <si>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</si>
  <si>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</si>
  <si>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</si>
  <si>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</si>
  <si>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</si>
  <si>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</si>
  <si>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</si>
  <si>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</si>
  <si>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</si>
  <si>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</si>
  <si>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</si>
  <si>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</si>
  <si>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</si>
  <si>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</si>
  <si>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</si>
  <si>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</si>
  <si>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</si>
  <si>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</si>
  <si>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</si>
  <si>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</si>
  <si>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</si>
  <si>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</si>
  <si>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</si>
  <si>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</si>
  <si>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</si>
  <si>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</si>
  <si>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</si>
  <si>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</si>
  <si>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</si>
  <si>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</si>
  <si>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</si>
  <si>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</si>
  <si>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</si>
  <si>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</si>
  <si>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</si>
  <si>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</si>
  <si>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</si>
  <si>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</si>
  <si>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</si>
  <si>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</si>
  <si>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</si>
  <si>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</si>
  <si>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File Name: C:\Documents and Settings\HUE Sophie\Desktop\resultats  et analyses luminex\14-plex Malha-1_120525.rbx</t>
  </si>
  <si>
    <t>Acquisition Date: 12-May-2025, 12:43 PM</t>
  </si>
  <si>
    <t>Reader Serial Number: LX10009159402</t>
  </si>
  <si>
    <t>Standard Lot: 446273-000 Expiration Date: 30-Apr-2026</t>
  </si>
  <si>
    <t xml:space="preserve">Plate ID: </t>
  </si>
  <si>
    <t>RP1 PMT (Volts): 538.22</t>
  </si>
  <si>
    <t>RP1 Target: 3652</t>
  </si>
  <si>
    <t>IL-33 (12)</t>
  </si>
  <si>
    <t>IL1b (18)</t>
  </si>
  <si>
    <t>IL2 (19)</t>
  </si>
  <si>
    <t>IL4 (20)</t>
  </si>
  <si>
    <t>IL5 (21)</t>
  </si>
  <si>
    <t>IL6 (25)</t>
  </si>
  <si>
    <t>IL-8/CXCL8 (27)</t>
  </si>
  <si>
    <t>IL10 (28)</t>
  </si>
  <si>
    <t>GDF-15 (33)</t>
  </si>
  <si>
    <t>IL12p70 (34)</t>
  </si>
  <si>
    <t>IL17A/CTLA-8 (36)</t>
  </si>
  <si>
    <t>IFNg (43)</t>
  </si>
  <si>
    <t>TNFa (45)</t>
  </si>
  <si>
    <t>Granzyme B (72)</t>
  </si>
  <si>
    <t>Well</t>
  </si>
  <si>
    <t>Description</t>
  </si>
  <si>
    <t>Obs Conc</t>
  </si>
  <si>
    <t>B</t>
  </si>
  <si>
    <t>A3,B3</t>
  </si>
  <si>
    <t>S1</t>
  </si>
  <si>
    <t>A1,B1</t>
  </si>
  <si>
    <t>S2</t>
  </si>
  <si>
    <t>C1,D1</t>
  </si>
  <si>
    <t>S3</t>
  </si>
  <si>
    <t>E1,F1</t>
  </si>
  <si>
    <t>S4</t>
  </si>
  <si>
    <t>G1,H1</t>
  </si>
  <si>
    <t>S5</t>
  </si>
  <si>
    <t>A2,B2</t>
  </si>
  <si>
    <t>S6</t>
  </si>
  <si>
    <t>C2,D2</t>
  </si>
  <si>
    <t>S7</t>
  </si>
  <si>
    <t>E2,F2</t>
  </si>
  <si>
    <t>S8</t>
  </si>
  <si>
    <t>G2,H2</t>
  </si>
  <si>
    <t>C1</t>
  </si>
  <si>
    <t>C3,D3</t>
  </si>
  <si>
    <t>*3327.66</t>
  </si>
  <si>
    <t>C2</t>
  </si>
  <si>
    <t>E3,F3</t>
  </si>
  <si>
    <t>C3</t>
  </si>
  <si>
    <t>G3,H3</t>
  </si>
  <si>
    <t>*9.85</t>
  </si>
  <si>
    <t>X1</t>
  </si>
  <si>
    <t>A4,A11</t>
  </si>
  <si>
    <t>OOR &lt;</t>
  </si>
  <si>
    <t>X2</t>
  </si>
  <si>
    <t>B4,B11</t>
  </si>
  <si>
    <t>*2.50</t>
  </si>
  <si>
    <t>X3</t>
  </si>
  <si>
    <t>C4,C11</t>
  </si>
  <si>
    <t>*0.01</t>
  </si>
  <si>
    <t>X4</t>
  </si>
  <si>
    <t>D4,D11</t>
  </si>
  <si>
    <t>*5.19</t>
  </si>
  <si>
    <t>X5</t>
  </si>
  <si>
    <t>E4,E11</t>
  </si>
  <si>
    <t>*6.56</t>
  </si>
  <si>
    <t>*1.52</t>
  </si>
  <si>
    <t>X6</t>
  </si>
  <si>
    <t>F4,F11</t>
  </si>
  <si>
    <t>X7</t>
  </si>
  <si>
    <t>G4,G11</t>
  </si>
  <si>
    <t>X8</t>
  </si>
  <si>
    <t>H4,H11</t>
  </si>
  <si>
    <t>*3.83</t>
  </si>
  <si>
    <t>X9</t>
  </si>
  <si>
    <t>A5</t>
  </si>
  <si>
    <t>X10</t>
  </si>
  <si>
    <t>B5</t>
  </si>
  <si>
    <t>X11</t>
  </si>
  <si>
    <t>C5</t>
  </si>
  <si>
    <t>*2.06</t>
  </si>
  <si>
    <t>X12</t>
  </si>
  <si>
    <t>D5</t>
  </si>
  <si>
    <t>*1.21</t>
  </si>
  <si>
    <t>X13</t>
  </si>
  <si>
    <t>E5</t>
  </si>
  <si>
    <t>X14</t>
  </si>
  <si>
    <t>F5</t>
  </si>
  <si>
    <t>X15</t>
  </si>
  <si>
    <t>G5</t>
  </si>
  <si>
    <t>X16</t>
  </si>
  <si>
    <t>H5</t>
  </si>
  <si>
    <t>X17</t>
  </si>
  <si>
    <t>A6</t>
  </si>
  <si>
    <t>X18</t>
  </si>
  <si>
    <t>B6</t>
  </si>
  <si>
    <t>X19</t>
  </si>
  <si>
    <t>C6</t>
  </si>
  <si>
    <t>X20</t>
  </si>
  <si>
    <t>D6</t>
  </si>
  <si>
    <t>X21</t>
  </si>
  <si>
    <t>E6</t>
  </si>
  <si>
    <t>*0.66</t>
  </si>
  <si>
    <t>X22</t>
  </si>
  <si>
    <t>F6</t>
  </si>
  <si>
    <t>X23</t>
  </si>
  <si>
    <t>G6</t>
  </si>
  <si>
    <t>*0.86</t>
  </si>
  <si>
    <t>X24</t>
  </si>
  <si>
    <t>H6</t>
  </si>
  <si>
    <t>*0.48</t>
  </si>
  <si>
    <t>X25</t>
  </si>
  <si>
    <t>A7</t>
  </si>
  <si>
    <t>X26</t>
  </si>
  <si>
    <t>B7</t>
  </si>
  <si>
    <t>X27</t>
  </si>
  <si>
    <t>C7</t>
  </si>
  <si>
    <t>X28</t>
  </si>
  <si>
    <t>D7</t>
  </si>
  <si>
    <t>*1.13</t>
  </si>
  <si>
    <t>X29</t>
  </si>
  <si>
    <t>E7</t>
  </si>
  <si>
    <t>X30</t>
  </si>
  <si>
    <t>F7</t>
  </si>
  <si>
    <t>*1.78</t>
  </si>
  <si>
    <t>X31</t>
  </si>
  <si>
    <t>G7</t>
  </si>
  <si>
    <t>X32</t>
  </si>
  <si>
    <t>H7</t>
  </si>
  <si>
    <t>X33</t>
  </si>
  <si>
    <t>A8</t>
  </si>
  <si>
    <t>X34</t>
  </si>
  <si>
    <t>B8</t>
  </si>
  <si>
    <t>X35</t>
  </si>
  <si>
    <t>C8</t>
  </si>
  <si>
    <t>X36</t>
  </si>
  <si>
    <t>D8</t>
  </si>
  <si>
    <t>*0.46</t>
  </si>
  <si>
    <t>X37</t>
  </si>
  <si>
    <t>E8</t>
  </si>
  <si>
    <t>X38</t>
  </si>
  <si>
    <t>F8</t>
  </si>
  <si>
    <t>*0.07</t>
  </si>
  <si>
    <t>X39</t>
  </si>
  <si>
    <t>G8</t>
  </si>
  <si>
    <t>*0.74</t>
  </si>
  <si>
    <t>X40</t>
  </si>
  <si>
    <t>H8</t>
  </si>
  <si>
    <t>X41</t>
  </si>
  <si>
    <t>A9</t>
  </si>
  <si>
    <t>X42</t>
  </si>
  <si>
    <t>B9</t>
  </si>
  <si>
    <t>X43</t>
  </si>
  <si>
    <t>C9</t>
  </si>
  <si>
    <t>*1.26</t>
  </si>
  <si>
    <t>X44</t>
  </si>
  <si>
    <t>D9</t>
  </si>
  <si>
    <t>X45</t>
  </si>
  <si>
    <t>E9</t>
  </si>
  <si>
    <t>*0.88</t>
  </si>
  <si>
    <t>X46</t>
  </si>
  <si>
    <t>F9</t>
  </si>
  <si>
    <t>*0.21</t>
  </si>
  <si>
    <t>X47</t>
  </si>
  <si>
    <t>G9</t>
  </si>
  <si>
    <t>X48</t>
  </si>
  <si>
    <t>H9</t>
  </si>
  <si>
    <t>*7.65</t>
  </si>
  <si>
    <t>X49</t>
  </si>
  <si>
    <t>A10,A12</t>
  </si>
  <si>
    <t>*0.59</t>
  </si>
  <si>
    <t>*1.60</t>
  </si>
  <si>
    <t>X50</t>
  </si>
  <si>
    <t>B10,B12</t>
  </si>
  <si>
    <t>*1.85</t>
  </si>
  <si>
    <t>X51</t>
  </si>
  <si>
    <t>C10,C12</t>
  </si>
  <si>
    <t>X52</t>
  </si>
  <si>
    <t>D10,D12</t>
  </si>
  <si>
    <t>X53</t>
  </si>
  <si>
    <t>E10,E12</t>
  </si>
  <si>
    <t>X54</t>
  </si>
  <si>
    <t>F10,F12</t>
  </si>
  <si>
    <t>X55</t>
  </si>
  <si>
    <t>G10,G12</t>
  </si>
  <si>
    <t>X56</t>
  </si>
  <si>
    <t>H10,H12</t>
  </si>
  <si>
    <t>*7.54</t>
  </si>
  <si>
    <t>A3</t>
  </si>
  <si>
    <t>B3</t>
  </si>
  <si>
    <t>A1</t>
  </si>
  <si>
    <t>B1</t>
  </si>
  <si>
    <t>*12983.84</t>
  </si>
  <si>
    <t>*11511.70</t>
  </si>
  <si>
    <t>*7308.33</t>
  </si>
  <si>
    <t>*22431.97</t>
  </si>
  <si>
    <t>*9160.14</t>
  </si>
  <si>
    <t>D1</t>
  </si>
  <si>
    <t>*22302.29</t>
  </si>
  <si>
    <t>*7326.22</t>
  </si>
  <si>
    <t>*14570.31</t>
  </si>
  <si>
    <t>*14571.63</t>
  </si>
  <si>
    <t>E1</t>
  </si>
  <si>
    <t>*2858.03</t>
  </si>
  <si>
    <t>F1</t>
  </si>
  <si>
    <t>G1</t>
  </si>
  <si>
    <t>H1</t>
  </si>
  <si>
    <t>A2</t>
  </si>
  <si>
    <t>B2</t>
  </si>
  <si>
    <t>D2</t>
  </si>
  <si>
    <t>E2</t>
  </si>
  <si>
    <t>*16.21</t>
  </si>
  <si>
    <t>*1.39</t>
  </si>
  <si>
    <t>F2</t>
  </si>
  <si>
    <t>G2</t>
  </si>
  <si>
    <t>*3.09</t>
  </si>
  <si>
    <t>H2</t>
  </si>
  <si>
    <t>*3390.73</t>
  </si>
  <si>
    <t>D3</t>
  </si>
  <si>
    <t>*3265.76</t>
  </si>
  <si>
    <t>E3</t>
  </si>
  <si>
    <t>F3</t>
  </si>
  <si>
    <t>G3</t>
  </si>
  <si>
    <t>H3</t>
  </si>
  <si>
    <t>A4</t>
  </si>
  <si>
    <t>A11</t>
  </si>
  <si>
    <t>B4</t>
  </si>
  <si>
    <t>B11</t>
  </si>
  <si>
    <t>C4</t>
  </si>
  <si>
    <t>C11</t>
  </si>
  <si>
    <t>D4</t>
  </si>
  <si>
    <t>D11</t>
  </si>
  <si>
    <t>E4</t>
  </si>
  <si>
    <t>E11</t>
  </si>
  <si>
    <t>F4</t>
  </si>
  <si>
    <t>F11</t>
  </si>
  <si>
    <t>G4</t>
  </si>
  <si>
    <t>G11</t>
  </si>
  <si>
    <t>H4</t>
  </si>
  <si>
    <t>H11</t>
  </si>
  <si>
    <t>*2.15</t>
  </si>
  <si>
    <t>A10</t>
  </si>
  <si>
    <t>A12</t>
  </si>
  <si>
    <t>B10</t>
  </si>
  <si>
    <t>B12</t>
  </si>
  <si>
    <t>C10</t>
  </si>
  <si>
    <t>*0.35</t>
  </si>
  <si>
    <t>C12</t>
  </si>
  <si>
    <t>D10</t>
  </si>
  <si>
    <t>D12</t>
  </si>
  <si>
    <t>E10</t>
  </si>
  <si>
    <t>E12</t>
  </si>
  <si>
    <t>*1.22</t>
  </si>
  <si>
    <t>F10</t>
  </si>
  <si>
    <t>F12</t>
  </si>
  <si>
    <t>G10</t>
  </si>
  <si>
    <t>G12</t>
  </si>
  <si>
    <t>H10</t>
  </si>
  <si>
    <t>*8.89</t>
  </si>
  <si>
    <t>*0.14</t>
  </si>
  <si>
    <t>H12</t>
  </si>
  <si>
    <t>*6.14</t>
  </si>
  <si>
    <t>Sampling Errors: 1 - Low bead #;  2 - Agg beads;  3 - Classify %;  4 - Region selection;  5 - Platform temperature</t>
  </si>
  <si>
    <t>*** = Value not available;   --- = Designated as an outlier</t>
  </si>
  <si>
    <t>*Value = Value extrapolated beyond standard range</t>
  </si>
  <si>
    <t>OOR = Out of Range;   OOR&gt; = Out of Range Above;   OOR&lt; = Out of Range Below</t>
  </si>
  <si>
    <t>Exp Conc = Expected Concentration;   Obs Conc = Observed  Concentration</t>
  </si>
  <si>
    <t>Concentration Units = pg/ml</t>
  </si>
  <si>
    <t>Obs Conc %CV</t>
  </si>
  <si>
    <t>*2.53</t>
  </si>
  <si>
    <t>*5.57</t>
  </si>
  <si>
    <t>*0.08</t>
  </si>
  <si>
    <t>*6.53</t>
  </si>
  <si>
    <t>*0.99</t>
  </si>
  <si>
    <t>*0.67</t>
  </si>
  <si>
    <t>*0.17</t>
  </si>
  <si>
    <t>*1.50</t>
  </si>
  <si>
    <t>*1.68</t>
  </si>
  <si>
    <t>*0.84</t>
  </si>
  <si>
    <t>*1.83</t>
  </si>
  <si>
    <t>*6.15</t>
  </si>
  <si>
    <t>*16403.46</t>
  </si>
  <si>
    <t>*15688.72</t>
  </si>
  <si>
    <t>*7116.86</t>
  </si>
  <si>
    <t>*24026.17</t>
  </si>
  <si>
    <t>*31048.92</t>
  </si>
  <si>
    <t>*11299.83</t>
  </si>
  <si>
    <t>*33532.61</t>
  </si>
  <si>
    <t>*11804.81</t>
  </si>
  <si>
    <t>*1.37</t>
  </si>
  <si>
    <t>*3.07</t>
  </si>
  <si>
    <t>*1.20</t>
  </si>
  <si>
    <t>Acquisition Date: 12-May-2025, 01:59 PM</t>
  </si>
  <si>
    <t>File Name: C:\Documents and Settings\HUE Sophie\Desktop\resultats  et analyses luminex\14-plex Malha-2_120525.rbx</t>
  </si>
  <si>
    <t>IL-33 CV in %</t>
  </si>
  <si>
    <t>[IL-33] in pg/mL</t>
  </si>
  <si>
    <t>[IL1b] in pg/mL</t>
  </si>
  <si>
    <t>[IL2] in pg/mL</t>
  </si>
  <si>
    <t>[IL4] in pg/mL</t>
  </si>
  <si>
    <t>[IL5] in pg/mL</t>
  </si>
  <si>
    <t>[IL6] in pg/mL</t>
  </si>
  <si>
    <t>[IL10] in pg/mL</t>
  </si>
  <si>
    <t>[GDF-15] in pg/mL</t>
  </si>
  <si>
    <t>[IL12p70] in pg/mL</t>
  </si>
  <si>
    <t>[IL17A/CTLA-8] in pg/mL</t>
  </si>
  <si>
    <t>[IFNg] in pg/mL</t>
  </si>
  <si>
    <t>[TNFa] in pg/mL</t>
  </si>
  <si>
    <t>[Granzyme B]  in pg/mL</t>
  </si>
  <si>
    <t>IL1b CV in %</t>
  </si>
  <si>
    <t>[IL8/CXCL8]  in pg/mL</t>
  </si>
  <si>
    <t>IL2 CV in %</t>
  </si>
  <si>
    <t>IL4 CV in %</t>
  </si>
  <si>
    <t>IL5 CV in %</t>
  </si>
  <si>
    <t>IL6 CV in %</t>
  </si>
  <si>
    <t>IL8/CXCL8 CV in %</t>
  </si>
  <si>
    <t>IL10 CV in %</t>
  </si>
  <si>
    <t>GDF-15 CV in %</t>
  </si>
  <si>
    <t>IL12p70 CV in %</t>
  </si>
  <si>
    <t>IL17A/CTLA-8 CV in %</t>
  </si>
  <si>
    <t>IFNg CV in %</t>
  </si>
  <si>
    <t>TNFa CV in %</t>
  </si>
  <si>
    <t>Granzyme B CV in %</t>
  </si>
  <si>
    <t>*2,50</t>
  </si>
  <si>
    <t>*0,01</t>
  </si>
  <si>
    <t>*5,19</t>
  </si>
  <si>
    <t>*6,56</t>
  </si>
  <si>
    <t>*1,52</t>
  </si>
  <si>
    <t>*3,83</t>
  </si>
  <si>
    <t>*2,06</t>
  </si>
  <si>
    <t>*1,21</t>
  </si>
  <si>
    <t>*0,66</t>
  </si>
  <si>
    <t>*0,86</t>
  </si>
  <si>
    <t>*0,48</t>
  </si>
  <si>
    <t>*1,13</t>
  </si>
  <si>
    <t>*1,78</t>
  </si>
  <si>
    <t>*0,46</t>
  </si>
  <si>
    <t>*0,07</t>
  </si>
  <si>
    <t>*0,74</t>
  </si>
  <si>
    <t>*1,26</t>
  </si>
  <si>
    <t>*0,88</t>
  </si>
  <si>
    <t>*0,21</t>
  </si>
  <si>
    <t>*7,65</t>
  </si>
  <si>
    <t>*0,59</t>
  </si>
  <si>
    <t>*1,60</t>
  </si>
  <si>
    <t>*1,85</t>
  </si>
  <si>
    <t>*7,54</t>
  </si>
  <si>
    <t>*1,37</t>
  </si>
  <si>
    <t>*0,67</t>
  </si>
  <si>
    <t>*6,53</t>
  </si>
  <si>
    <t>*0,99</t>
  </si>
  <si>
    <t>*1,20</t>
  </si>
  <si>
    <t>*3,07</t>
  </si>
  <si>
    <t>*0,08</t>
  </si>
  <si>
    <t>plus petite valeur extrapolée</t>
  </si>
  <si>
    <t>plus petite valeur extrapolée divisée par 2</t>
  </si>
  <si>
    <t xml:space="preserve"> -</t>
  </si>
  <si>
    <t>&lt; 3,77</t>
  </si>
  <si>
    <t>&lt; 0,005</t>
  </si>
  <si>
    <t>&lt; 0,04</t>
  </si>
  <si>
    <t>&lt; 0,23</t>
  </si>
  <si>
    <t>&lt; 0,035</t>
  </si>
  <si>
    <t>&lt; 0,565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</si>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</sst>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FAD7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ill="1"/>
    <xf numFmtId="0" fontId="0" fillId="0" borderId="1" xfId="0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3" fillId="0" borderId="0" xfId="0" applyFont="1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3" xfId="0" applyBorder="1"/>
    <xf numFmtId="0" fontId="3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Fill="1" applyBorder="1"/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4" borderId="0" xfId="0" applyFill="1"/>
    <xf numFmtId="0" fontId="0" fillId="4" borderId="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A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82AB-AA83-354C-893A-0F54F33394A3}">
  <sheetPr>
    <tabColor rgb="FFFFC000"/>
  </sheetPr>
  <dimension ref="A1:AG113"/>
  <sheetViews>
    <sheetView workbookViewId="0">
      <pane ySplit="1" topLeftCell="A2" activePane="bottomLeft" state="frozen"/>
      <selection pane="bottomLeft" activeCell="C36" sqref="C36"/>
    </sheetView>
  </sheetViews>
  <sheetFormatPr baseColWidth="10" defaultRowHeight="15" x14ac:dyDescent="0.2"/>
  <cols>
    <col min="2" max="2" width="10.83203125" style="1"/>
    <col min="3" max="3" width="20.6640625" customWidth="1"/>
    <col min="4" max="4" width="6.33203125" customWidth="1"/>
    <col min="5" max="5" width="9.6640625" customWidth="1"/>
    <col min="6" max="17" width="7.83203125" style="8" customWidth="1"/>
    <col min="18" max="18" width="10.5" style="8" customWidth="1"/>
    <col min="19" max="23" width="7.83203125" style="8" customWidth="1"/>
    <col min="24" max="24" width="8.5" style="8" customWidth="1"/>
    <col min="25" max="25" width="7.83203125" style="8" customWidth="1"/>
    <col min="26" max="26" width="8.5" style="8" customWidth="1"/>
    <col min="27" max="32" width="7.83203125" style="8" customWidth="1"/>
  </cols>
  <sheetData>
    <row r="1" spans="1:33" ht="36" customHeight="1" thickBot="1" x14ac:dyDescent="0.25">
      <c r="A1" s="4" t="s">
        <v>119</v>
      </c>
      <c r="B1" s="5" t="s">
        <v>118</v>
      </c>
      <c r="C1" s="4" t="s">
        <v>117</v>
      </c>
      <c r="E1" s="9" t="s">
        <v>116</v>
      </c>
      <c r="F1" s="10" t="s">
        <v>526</v>
      </c>
      <c r="G1" s="11" t="s">
        <v>525</v>
      </c>
      <c r="H1" s="10" t="s">
        <v>527</v>
      </c>
      <c r="I1" s="11" t="s">
        <v>539</v>
      </c>
      <c r="J1" s="10" t="s">
        <v>528</v>
      </c>
      <c r="K1" s="11" t="s">
        <v>541</v>
      </c>
      <c r="L1" s="10" t="s">
        <v>529</v>
      </c>
      <c r="M1" s="11" t="s">
        <v>542</v>
      </c>
      <c r="N1" s="10" t="s">
        <v>530</v>
      </c>
      <c r="O1" s="11" t="s">
        <v>543</v>
      </c>
      <c r="P1" s="13" t="s">
        <v>531</v>
      </c>
      <c r="Q1" s="11" t="s">
        <v>544</v>
      </c>
      <c r="R1" s="10" t="s">
        <v>540</v>
      </c>
      <c r="S1" s="11" t="s">
        <v>545</v>
      </c>
      <c r="T1" s="10" t="s">
        <v>532</v>
      </c>
      <c r="U1" s="11" t="s">
        <v>546</v>
      </c>
      <c r="V1" s="10" t="s">
        <v>533</v>
      </c>
      <c r="W1" s="11" t="s">
        <v>547</v>
      </c>
      <c r="X1" s="10" t="s">
        <v>534</v>
      </c>
      <c r="Y1" s="11" t="s">
        <v>548</v>
      </c>
      <c r="Z1" s="10" t="s">
        <v>535</v>
      </c>
      <c r="AA1" s="11" t="s">
        <v>549</v>
      </c>
      <c r="AB1" s="10" t="s">
        <v>536</v>
      </c>
      <c r="AC1" s="11" t="s">
        <v>550</v>
      </c>
      <c r="AD1" s="10" t="s">
        <v>537</v>
      </c>
      <c r="AE1" s="11" t="s">
        <v>551</v>
      </c>
      <c r="AF1" s="10" t="s">
        <v>538</v>
      </c>
      <c r="AG1" s="11" t="s">
        <v>552</v>
      </c>
    </row>
    <row r="2" spans="1:33" x14ac:dyDescent="0.2">
      <c r="A2" s="2" t="s">
        <v>3</v>
      </c>
      <c r="B2" s="3" t="s">
        <v>35</v>
      </c>
      <c r="C2" s="2" t="s">
        <v>115</v>
      </c>
      <c r="D2" s="6" t="s">
        <v>120</v>
      </c>
      <c r="E2" s="12" t="s">
        <v>0</v>
      </c>
      <c r="F2" s="14" t="str">
        <f>VLOOKUP(D2,'Obs Conc_1'!$C$23:$Q$78,2,FALSE)</f>
        <v>OOR &lt;</v>
      </c>
      <c r="G2" s="15">
        <f>VLOOKUP(D2,'Obs Conc %CV_1'!$C$23:$Q$78,2,FALSE)</f>
        <v>0</v>
      </c>
      <c r="H2" s="14" t="str">
        <f>VLOOKUP(D2,'Obs Conc_1'!$C$23:$Q$78,3,FALSE)</f>
        <v>OOR &lt;</v>
      </c>
      <c r="I2" s="15">
        <f>VLOOKUP(D2,'Obs Conc %CV_1'!$C$23:$Q$78,3,FALSE)</f>
        <v>0</v>
      </c>
      <c r="J2" s="14" t="str">
        <f>VLOOKUP(D2,'Obs Conc_1'!$C$23:$Q$78,4,FALSE)</f>
        <v>OOR &lt;</v>
      </c>
      <c r="K2" s="15">
        <f>VLOOKUP(D2,'Obs Conc %CV_1'!$C$23:$Q$78,4,FALSE)</f>
        <v>0</v>
      </c>
      <c r="L2" s="14" t="str">
        <f>VLOOKUP(D2,'Obs Conc_1'!$C$23:$Q$78,5,FALSE)</f>
        <v>OOR &lt;</v>
      </c>
      <c r="M2" s="15">
        <f>VLOOKUP(D2,'Obs Conc %CV_1'!$C$23:$Q$78,5,FALSE)</f>
        <v>0</v>
      </c>
      <c r="N2" s="14" t="str">
        <f>VLOOKUP(D2,'Obs Conc_1'!$C$23:$Q$78,6,FALSE)</f>
        <v>OOR &lt;</v>
      </c>
      <c r="O2" s="15">
        <f>VLOOKUP(D2,'Obs Conc %CV_1'!$C$23:$Q$78,6,FALSE)</f>
        <v>0</v>
      </c>
      <c r="P2" s="14">
        <f>VLOOKUP(D2,'Obs Conc_1'!$C$23:$Q$78,7,FALSE)</f>
        <v>25.35</v>
      </c>
      <c r="Q2" s="15">
        <f>VLOOKUP(D2,'Obs Conc %CV_1'!$C$23:$Q$78,7,FALSE)</f>
        <v>8.07</v>
      </c>
      <c r="R2" s="14">
        <f>VLOOKUP(D2,'Obs Conc_1'!$C$23:$Q$78,8,FALSE)</f>
        <v>9.83</v>
      </c>
      <c r="S2" s="15">
        <f>VLOOKUP(D2,'Obs Conc %CV_1'!$C$23:$Q$78,8,FALSE)</f>
        <v>15.32</v>
      </c>
      <c r="T2" s="14" t="str">
        <f>VLOOKUP(D2,'Obs Conc_1'!$C$23:$Q$78,9,FALSE)</f>
        <v>OOR &lt;</v>
      </c>
      <c r="U2" s="15">
        <f>VLOOKUP(D2,'Obs Conc %CV_1'!$C$23:$Q$78,9,FALSE)</f>
        <v>0</v>
      </c>
      <c r="V2" s="14">
        <f>VLOOKUP(D2,'Obs Conc_1'!$C$23:$Q$78,10,FALSE)</f>
        <v>405.42</v>
      </c>
      <c r="W2" s="15">
        <f>VLOOKUP(D2,'Obs Conc %CV_1'!$C$23:$Q$78,10,FALSE)</f>
        <v>15.5</v>
      </c>
      <c r="X2" s="14" t="str">
        <f>VLOOKUP(D2,'Obs Conc_1'!$C$23:$Q$78,11,FALSE)</f>
        <v>OOR &lt;</v>
      </c>
      <c r="Y2" s="15">
        <f>VLOOKUP(D2,'Obs Conc %CV_1'!$C$23:$Q$78,11,FALSE)</f>
        <v>0</v>
      </c>
      <c r="Z2" s="14" t="str">
        <f>VLOOKUP(D2,'Obs Conc_1'!$C$23:$Q$78,12,FALSE)</f>
        <v>OOR &lt;</v>
      </c>
      <c r="AA2" s="15">
        <f>VLOOKUP(D2,'Obs Conc %CV_1'!$C$23:$Q$78,12,FALSE)</f>
        <v>0</v>
      </c>
      <c r="AB2" s="14" t="str">
        <f>VLOOKUP(D2,'Obs Conc_1'!$C$23:$Q$78,13,FALSE)</f>
        <v>OOR &lt;</v>
      </c>
      <c r="AC2" s="15">
        <f>VLOOKUP(D2,'Obs Conc %CV_1'!$C$23:$Q$78,13,FALSE)</f>
        <v>0</v>
      </c>
      <c r="AD2" s="14" t="str">
        <f>VLOOKUP(D2,'Obs Conc_1'!$C$23:$Q$78,14,FALSE)</f>
        <v>OOR &lt;</v>
      </c>
      <c r="AE2" s="15">
        <f>VLOOKUP(D2,'Obs Conc %CV_1'!$C$23:$Q$78,14,FALSE)</f>
        <v>0</v>
      </c>
      <c r="AF2" s="14" t="str">
        <f>VLOOKUP(D2,'Obs Conc_1'!$C$23:$Q$78,15,FALSE)</f>
        <v>OOR &lt;</v>
      </c>
      <c r="AG2" s="15">
        <f>VLOOKUP(D2,'Obs Conc %CV_1'!$C$23:$Q$78,15,FALSE)</f>
        <v>0</v>
      </c>
    </row>
    <row r="3" spans="1:33" x14ac:dyDescent="0.2">
      <c r="A3" s="2" t="s">
        <v>3</v>
      </c>
      <c r="B3" s="3" t="s">
        <v>35</v>
      </c>
      <c r="C3" s="2" t="s">
        <v>114</v>
      </c>
      <c r="D3" s="6" t="s">
        <v>121</v>
      </c>
      <c r="E3" s="12" t="s">
        <v>0</v>
      </c>
      <c r="F3" s="14" t="str">
        <f>VLOOKUP(D3,'Obs Conc_1'!$C$23:$Q$78,2,FALSE)</f>
        <v>OOR &lt;</v>
      </c>
      <c r="G3" s="15">
        <f>VLOOKUP(D3,'Obs Conc %CV_1'!$C$23:$Q$78,2,FALSE)</f>
        <v>0</v>
      </c>
      <c r="H3" s="14" t="str">
        <f>VLOOKUP(D3,'Obs Conc_1'!$C$23:$Q$78,3,FALSE)</f>
        <v>OOR &lt;</v>
      </c>
      <c r="I3" s="15">
        <f>VLOOKUP(D3,'Obs Conc %CV_1'!$C$23:$Q$78,3,FALSE)</f>
        <v>0</v>
      </c>
      <c r="J3" s="14" t="str">
        <f>VLOOKUP(D3,'Obs Conc_1'!$C$23:$Q$78,4,FALSE)</f>
        <v>OOR &lt;</v>
      </c>
      <c r="K3" s="15">
        <f>VLOOKUP(D3,'Obs Conc %CV_1'!$C$23:$Q$78,4,FALSE)</f>
        <v>0</v>
      </c>
      <c r="L3" s="14" t="str">
        <f>VLOOKUP(D3,'Obs Conc_1'!$C$23:$Q$78,5,FALSE)</f>
        <v>OOR &lt;</v>
      </c>
      <c r="M3" s="15">
        <f>VLOOKUP(D3,'Obs Conc %CV_1'!$C$23:$Q$78,5,FALSE)</f>
        <v>0</v>
      </c>
      <c r="N3" s="14" t="str">
        <f>VLOOKUP(D3,'Obs Conc_1'!$C$23:$Q$78,6,FALSE)</f>
        <v>*2.50</v>
      </c>
      <c r="O3" s="15">
        <f>VLOOKUP(D3,'Obs Conc %CV_1'!$C$23:$Q$78,6,FALSE)</f>
        <v>73.599999999999994</v>
      </c>
      <c r="P3" s="14">
        <f>VLOOKUP(D3,'Obs Conc_1'!$C$23:$Q$78,7,FALSE)</f>
        <v>47.13</v>
      </c>
      <c r="Q3" s="15">
        <f>VLOOKUP(D3,'Obs Conc %CV_1'!$C$23:$Q$78,7,FALSE)</f>
        <v>9.01</v>
      </c>
      <c r="R3" s="14">
        <f>VLOOKUP(D3,'Obs Conc_1'!$C$23:$Q$78,8,FALSE)</f>
        <v>3.29</v>
      </c>
      <c r="S3" s="15">
        <f>VLOOKUP(D3,'Obs Conc %CV_1'!$C$23:$Q$78,8,FALSE)</f>
        <v>7.48</v>
      </c>
      <c r="T3" s="14" t="str">
        <f>VLOOKUP(D3,'Obs Conc_1'!$C$23:$Q$78,9,FALSE)</f>
        <v>OOR &lt;</v>
      </c>
      <c r="U3" s="15">
        <f>VLOOKUP(D3,'Obs Conc %CV_1'!$C$23:$Q$78,9,FALSE)</f>
        <v>0</v>
      </c>
      <c r="V3" s="14">
        <f>VLOOKUP(D3,'Obs Conc_1'!$C$23:$Q$78,10,FALSE)</f>
        <v>313.33999999999997</v>
      </c>
      <c r="W3" s="15">
        <f>VLOOKUP(D3,'Obs Conc %CV_1'!$C$23:$Q$78,10,FALSE)</f>
        <v>0.64</v>
      </c>
      <c r="X3" s="14" t="str">
        <f>VLOOKUP(D3,'Obs Conc_1'!$C$23:$Q$78,11,FALSE)</f>
        <v>OOR &lt;</v>
      </c>
      <c r="Y3" s="15">
        <f>VLOOKUP(D3,'Obs Conc %CV_1'!$C$23:$Q$78,11,FALSE)</f>
        <v>0</v>
      </c>
      <c r="Z3" s="14" t="str">
        <f>VLOOKUP(D3,'Obs Conc_1'!$C$23:$Q$78,12,FALSE)</f>
        <v>OOR &lt;</v>
      </c>
      <c r="AA3" s="15">
        <f>VLOOKUP(D3,'Obs Conc %CV_1'!$C$23:$Q$78,12,FALSE)</f>
        <v>0</v>
      </c>
      <c r="AB3" s="14" t="str">
        <f>VLOOKUP(D3,'Obs Conc_1'!$C$23:$Q$78,13,FALSE)</f>
        <v>OOR &lt;</v>
      </c>
      <c r="AC3" s="15">
        <f>VLOOKUP(D3,'Obs Conc %CV_1'!$C$23:$Q$78,13,FALSE)</f>
        <v>0</v>
      </c>
      <c r="AD3" s="14" t="str">
        <f>VLOOKUP(D3,'Obs Conc_1'!$C$23:$Q$78,14,FALSE)</f>
        <v>OOR &lt;</v>
      </c>
      <c r="AE3" s="15">
        <f>VLOOKUP(D3,'Obs Conc %CV_1'!$C$23:$Q$78,14,FALSE)</f>
        <v>0</v>
      </c>
      <c r="AF3" s="14" t="str">
        <f>VLOOKUP(D3,'Obs Conc_1'!$C$23:$Q$78,15,FALSE)</f>
        <v>OOR &lt;</v>
      </c>
      <c r="AG3" s="15">
        <f>VLOOKUP(D3,'Obs Conc %CV_1'!$C$23:$Q$78,15,FALSE)</f>
        <v>0</v>
      </c>
    </row>
    <row r="4" spans="1:33" x14ac:dyDescent="0.2">
      <c r="A4" s="2" t="s">
        <v>3</v>
      </c>
      <c r="B4" s="3" t="s">
        <v>35</v>
      </c>
      <c r="C4" s="2" t="s">
        <v>113</v>
      </c>
      <c r="D4" s="6" t="s">
        <v>122</v>
      </c>
      <c r="E4" s="12" t="s">
        <v>0</v>
      </c>
      <c r="F4" s="14" t="str">
        <f>VLOOKUP(D4,'Obs Conc_1'!$C$23:$Q$78,2,FALSE)</f>
        <v>OOR &lt;</v>
      </c>
      <c r="G4" s="15">
        <f>VLOOKUP(D4,'Obs Conc %CV_1'!$C$23:$Q$78,2,FALSE)</f>
        <v>0</v>
      </c>
      <c r="H4" s="14" t="str">
        <f>VLOOKUP(D4,'Obs Conc_1'!$C$23:$Q$78,3,FALSE)</f>
        <v>OOR &lt;</v>
      </c>
      <c r="I4" s="15">
        <f>VLOOKUP(D4,'Obs Conc %CV_1'!$C$23:$Q$78,3,FALSE)</f>
        <v>0</v>
      </c>
      <c r="J4" s="14" t="str">
        <f>VLOOKUP(D4,'Obs Conc_1'!$C$23:$Q$78,4,FALSE)</f>
        <v>OOR &lt;</v>
      </c>
      <c r="K4" s="15">
        <f>VLOOKUP(D4,'Obs Conc %CV_1'!$C$23:$Q$78,4,FALSE)</f>
        <v>0</v>
      </c>
      <c r="L4" s="14" t="str">
        <f>VLOOKUP(D4,'Obs Conc_1'!$C$23:$Q$78,5,FALSE)</f>
        <v>OOR &lt;</v>
      </c>
      <c r="M4" s="15">
        <f>VLOOKUP(D4,'Obs Conc %CV_1'!$C$23:$Q$78,5,FALSE)</f>
        <v>0</v>
      </c>
      <c r="N4" s="14" t="str">
        <f>VLOOKUP(D4,'Obs Conc_1'!$C$23:$Q$78,6,FALSE)</f>
        <v>*0.01</v>
      </c>
      <c r="O4" s="15">
        <f>VLOOKUP(D4,'Obs Conc %CV_1'!$C$23:$Q$78,6,FALSE)</f>
        <v>0</v>
      </c>
      <c r="P4" s="14">
        <f>VLOOKUP(D4,'Obs Conc_1'!$C$23:$Q$78,7,FALSE)</f>
        <v>53.41</v>
      </c>
      <c r="Q4" s="15">
        <f>VLOOKUP(D4,'Obs Conc %CV_1'!$C$23:$Q$78,7,FALSE)</f>
        <v>26.14</v>
      </c>
      <c r="R4" s="14">
        <f>VLOOKUP(D4,'Obs Conc_1'!$C$23:$Q$78,8,FALSE)</f>
        <v>3.47</v>
      </c>
      <c r="S4" s="15">
        <f>VLOOKUP(D4,'Obs Conc %CV_1'!$C$23:$Q$78,8,FALSE)</f>
        <v>31.95</v>
      </c>
      <c r="T4" s="14" t="str">
        <f>VLOOKUP(D4,'Obs Conc_1'!$C$23:$Q$78,9,FALSE)</f>
        <v>OOR &lt;</v>
      </c>
      <c r="U4" s="15">
        <f>VLOOKUP(D4,'Obs Conc %CV_1'!$C$23:$Q$78,9,FALSE)</f>
        <v>0</v>
      </c>
      <c r="V4" s="14">
        <f>VLOOKUP(D4,'Obs Conc_1'!$C$23:$Q$78,10,FALSE)</f>
        <v>379.9</v>
      </c>
      <c r="W4" s="15">
        <f>VLOOKUP(D4,'Obs Conc %CV_1'!$C$23:$Q$78,10,FALSE)</f>
        <v>19.7</v>
      </c>
      <c r="X4" s="14" t="str">
        <f>VLOOKUP(D4,'Obs Conc_1'!$C$23:$Q$78,11,FALSE)</f>
        <v>OOR &lt;</v>
      </c>
      <c r="Y4" s="15">
        <f>VLOOKUP(D4,'Obs Conc %CV_1'!$C$23:$Q$78,11,FALSE)</f>
        <v>0</v>
      </c>
      <c r="Z4" s="14" t="str">
        <f>VLOOKUP(D4,'Obs Conc_1'!$C$23:$Q$78,12,FALSE)</f>
        <v>OOR &lt;</v>
      </c>
      <c r="AA4" s="15">
        <f>VLOOKUP(D4,'Obs Conc %CV_1'!$C$23:$Q$78,12,FALSE)</f>
        <v>0</v>
      </c>
      <c r="AB4" s="14" t="str">
        <f>VLOOKUP(D4,'Obs Conc_1'!$C$23:$Q$78,13,FALSE)</f>
        <v>OOR &lt;</v>
      </c>
      <c r="AC4" s="15">
        <f>VLOOKUP(D4,'Obs Conc %CV_1'!$C$23:$Q$78,13,FALSE)</f>
        <v>0</v>
      </c>
      <c r="AD4" s="14" t="str">
        <f>VLOOKUP(D4,'Obs Conc_1'!$C$23:$Q$78,14,FALSE)</f>
        <v>OOR &lt;</v>
      </c>
      <c r="AE4" s="15">
        <f>VLOOKUP(D4,'Obs Conc %CV_1'!$C$23:$Q$78,14,FALSE)</f>
        <v>0</v>
      </c>
      <c r="AF4" s="14" t="str">
        <f>VLOOKUP(D4,'Obs Conc_1'!$C$23:$Q$78,15,FALSE)</f>
        <v>OOR &lt;</v>
      </c>
      <c r="AG4" s="15">
        <f>VLOOKUP(D4,'Obs Conc %CV_1'!$C$23:$Q$78,15,FALSE)</f>
        <v>0</v>
      </c>
    </row>
    <row r="5" spans="1:33" x14ac:dyDescent="0.2">
      <c r="A5" s="2" t="s">
        <v>3</v>
      </c>
      <c r="B5" s="3" t="s">
        <v>35</v>
      </c>
      <c r="C5" s="2" t="s">
        <v>112</v>
      </c>
      <c r="D5" s="6" t="s">
        <v>123</v>
      </c>
      <c r="E5" s="12" t="s">
        <v>0</v>
      </c>
      <c r="F5" s="14" t="str">
        <f>VLOOKUP(D5,'Obs Conc_1'!$C$23:$Q$78,2,FALSE)</f>
        <v>OOR &lt;</v>
      </c>
      <c r="G5" s="15">
        <f>VLOOKUP(D5,'Obs Conc %CV_1'!$C$23:$Q$78,2,FALSE)</f>
        <v>0</v>
      </c>
      <c r="H5" s="14" t="str">
        <f>VLOOKUP(D5,'Obs Conc_1'!$C$23:$Q$78,3,FALSE)</f>
        <v>OOR &lt;</v>
      </c>
      <c r="I5" s="15">
        <f>VLOOKUP(D5,'Obs Conc %CV_1'!$C$23:$Q$78,3,FALSE)</f>
        <v>0</v>
      </c>
      <c r="J5" s="14" t="str">
        <f>VLOOKUP(D5,'Obs Conc_1'!$C$23:$Q$78,4,FALSE)</f>
        <v>OOR &lt;</v>
      </c>
      <c r="K5" s="15">
        <f>VLOOKUP(D5,'Obs Conc %CV_1'!$C$23:$Q$78,4,FALSE)</f>
        <v>0</v>
      </c>
      <c r="L5" s="14" t="str">
        <f>VLOOKUP(D5,'Obs Conc_1'!$C$23:$Q$78,5,FALSE)</f>
        <v>OOR &lt;</v>
      </c>
      <c r="M5" s="15">
        <f>VLOOKUP(D5,'Obs Conc %CV_1'!$C$23:$Q$78,5,FALSE)</f>
        <v>0</v>
      </c>
      <c r="N5" s="14" t="str">
        <f>VLOOKUP(D5,'Obs Conc_1'!$C$23:$Q$78,6,FALSE)</f>
        <v>*5.19</v>
      </c>
      <c r="O5" s="15">
        <f>VLOOKUP(D5,'Obs Conc %CV_1'!$C$23:$Q$78,6,FALSE)</f>
        <v>0</v>
      </c>
      <c r="P5" s="14">
        <f>VLOOKUP(D5,'Obs Conc_1'!$C$23:$Q$78,7,FALSE)</f>
        <v>416.67</v>
      </c>
      <c r="Q5" s="15">
        <f>VLOOKUP(D5,'Obs Conc %CV_1'!$C$23:$Q$78,7,FALSE)</f>
        <v>5.37</v>
      </c>
      <c r="R5" s="14">
        <f>VLOOKUP(D5,'Obs Conc_1'!$C$23:$Q$78,8,FALSE)</f>
        <v>87.29</v>
      </c>
      <c r="S5" s="15">
        <f>VLOOKUP(D5,'Obs Conc %CV_1'!$C$23:$Q$78,8,FALSE)</f>
        <v>1.37</v>
      </c>
      <c r="T5" s="14">
        <f>VLOOKUP(D5,'Obs Conc_1'!$C$23:$Q$78,9,FALSE)</f>
        <v>105.86</v>
      </c>
      <c r="U5" s="15">
        <f>VLOOKUP(D5,'Obs Conc %CV_1'!$C$23:$Q$78,9,FALSE)</f>
        <v>4.04</v>
      </c>
      <c r="V5" s="14">
        <f>VLOOKUP(D5,'Obs Conc_1'!$C$23:$Q$78,10,FALSE)</f>
        <v>660.73</v>
      </c>
      <c r="W5" s="15">
        <f>VLOOKUP(D5,'Obs Conc %CV_1'!$C$23:$Q$78,10,FALSE)</f>
        <v>4.57</v>
      </c>
      <c r="X5" s="14" t="str">
        <f>VLOOKUP(D5,'Obs Conc_1'!$C$23:$Q$78,11,FALSE)</f>
        <v>OOR &lt;</v>
      </c>
      <c r="Y5" s="15">
        <f>VLOOKUP(D5,'Obs Conc %CV_1'!$C$23:$Q$78,11,FALSE)</f>
        <v>0</v>
      </c>
      <c r="Z5" s="14" t="str">
        <f>VLOOKUP(D5,'Obs Conc_1'!$C$23:$Q$78,12,FALSE)</f>
        <v>OOR &lt;</v>
      </c>
      <c r="AA5" s="15">
        <f>VLOOKUP(D5,'Obs Conc %CV_1'!$C$23:$Q$78,12,FALSE)</f>
        <v>0</v>
      </c>
      <c r="AB5" s="14" t="str">
        <f>VLOOKUP(D5,'Obs Conc_1'!$C$23:$Q$78,13,FALSE)</f>
        <v>OOR &lt;</v>
      </c>
      <c r="AC5" s="15">
        <f>VLOOKUP(D5,'Obs Conc %CV_1'!$C$23:$Q$78,13,FALSE)</f>
        <v>0</v>
      </c>
      <c r="AD5" s="14" t="str">
        <f>VLOOKUP(D5,'Obs Conc_1'!$C$23:$Q$78,14,FALSE)</f>
        <v>OOR &lt;</v>
      </c>
      <c r="AE5" s="15">
        <f>VLOOKUP(D5,'Obs Conc %CV_1'!$C$23:$Q$78,14,FALSE)</f>
        <v>0</v>
      </c>
      <c r="AF5" s="14" t="str">
        <f>VLOOKUP(D5,'Obs Conc_1'!$C$23:$Q$78,15,FALSE)</f>
        <v>OOR &lt;</v>
      </c>
      <c r="AG5" s="15">
        <f>VLOOKUP(D5,'Obs Conc %CV_1'!$C$23:$Q$78,15,FALSE)</f>
        <v>0</v>
      </c>
    </row>
    <row r="6" spans="1:33" x14ac:dyDescent="0.2">
      <c r="A6" s="2" t="s">
        <v>3</v>
      </c>
      <c r="B6" s="3" t="s">
        <v>35</v>
      </c>
      <c r="C6" s="2" t="s">
        <v>111</v>
      </c>
      <c r="D6" s="6" t="s">
        <v>124</v>
      </c>
      <c r="E6" s="12" t="s">
        <v>0</v>
      </c>
      <c r="F6" s="14" t="str">
        <f>VLOOKUP(D6,'Obs Conc_1'!$C$23:$Q$78,2,FALSE)</f>
        <v>OOR &lt;</v>
      </c>
      <c r="G6" s="15">
        <f>VLOOKUP(D6,'Obs Conc %CV_1'!$C$23:$Q$78,2,FALSE)</f>
        <v>0</v>
      </c>
      <c r="H6" s="14" t="str">
        <f>VLOOKUP(D6,'Obs Conc_1'!$C$23:$Q$78,3,FALSE)</f>
        <v>OOR &lt;</v>
      </c>
      <c r="I6" s="15">
        <f>VLOOKUP(D6,'Obs Conc %CV_1'!$C$23:$Q$78,3,FALSE)</f>
        <v>0</v>
      </c>
      <c r="J6" s="14" t="str">
        <f>VLOOKUP(D6,'Obs Conc_1'!$C$23:$Q$78,4,FALSE)</f>
        <v>OOR &lt;</v>
      </c>
      <c r="K6" s="15">
        <f>VLOOKUP(D6,'Obs Conc %CV_1'!$C$23:$Q$78,4,FALSE)</f>
        <v>0</v>
      </c>
      <c r="L6" s="14" t="str">
        <f>VLOOKUP(D6,'Obs Conc_1'!$C$23:$Q$78,5,FALSE)</f>
        <v>OOR &lt;</v>
      </c>
      <c r="M6" s="15">
        <f>VLOOKUP(D6,'Obs Conc %CV_1'!$C$23:$Q$78,5,FALSE)</f>
        <v>0</v>
      </c>
      <c r="N6" s="14" t="str">
        <f>VLOOKUP(D6,'Obs Conc_1'!$C$23:$Q$78,6,FALSE)</f>
        <v>*6.56</v>
      </c>
      <c r="O6" s="15">
        <f>VLOOKUP(D6,'Obs Conc %CV_1'!$C$23:$Q$78,6,FALSE)</f>
        <v>0</v>
      </c>
      <c r="P6" s="14">
        <f>VLOOKUP(D6,'Obs Conc_1'!$C$23:$Q$78,7,FALSE)</f>
        <v>50.78</v>
      </c>
      <c r="Q6" s="15">
        <f>VLOOKUP(D6,'Obs Conc %CV_1'!$C$23:$Q$78,7,FALSE)</f>
        <v>1.84</v>
      </c>
      <c r="R6" s="14">
        <f>VLOOKUP(D6,'Obs Conc_1'!$C$23:$Q$78,8,FALSE)</f>
        <v>18.75</v>
      </c>
      <c r="S6" s="15">
        <f>VLOOKUP(D6,'Obs Conc %CV_1'!$C$23:$Q$78,8,FALSE)</f>
        <v>12.99</v>
      </c>
      <c r="T6" s="14" t="str">
        <f>VLOOKUP(D6,'Obs Conc_1'!$C$23:$Q$78,9,FALSE)</f>
        <v>*1.52</v>
      </c>
      <c r="U6" s="15">
        <f>VLOOKUP(D6,'Obs Conc %CV_1'!$C$23:$Q$78,9,FALSE)</f>
        <v>11.84</v>
      </c>
      <c r="V6" s="14">
        <f>VLOOKUP(D6,'Obs Conc_1'!$C$23:$Q$78,10,FALSE)</f>
        <v>580.6</v>
      </c>
      <c r="W6" s="15">
        <f>VLOOKUP(D6,'Obs Conc %CV_1'!$C$23:$Q$78,10,FALSE)</f>
        <v>9.1199999999999992</v>
      </c>
      <c r="X6" s="14" t="str">
        <f>VLOOKUP(D6,'Obs Conc_1'!$C$23:$Q$78,11,FALSE)</f>
        <v>OOR &lt;</v>
      </c>
      <c r="Y6" s="15">
        <f>VLOOKUP(D6,'Obs Conc %CV_1'!$C$23:$Q$78,11,FALSE)</f>
        <v>0</v>
      </c>
      <c r="Z6" s="14" t="str">
        <f>VLOOKUP(D6,'Obs Conc_1'!$C$23:$Q$78,12,FALSE)</f>
        <v>OOR &lt;</v>
      </c>
      <c r="AA6" s="15">
        <f>VLOOKUP(D6,'Obs Conc %CV_1'!$C$23:$Q$78,12,FALSE)</f>
        <v>0</v>
      </c>
      <c r="AB6" s="14" t="str">
        <f>VLOOKUP(D6,'Obs Conc_1'!$C$23:$Q$78,13,FALSE)</f>
        <v>OOR &lt;</v>
      </c>
      <c r="AC6" s="15">
        <f>VLOOKUP(D6,'Obs Conc %CV_1'!$C$23:$Q$78,13,FALSE)</f>
        <v>0</v>
      </c>
      <c r="AD6" s="14" t="str">
        <f>VLOOKUP(D6,'Obs Conc_1'!$C$23:$Q$78,14,FALSE)</f>
        <v>OOR &lt;</v>
      </c>
      <c r="AE6" s="15">
        <f>VLOOKUP(D6,'Obs Conc %CV_1'!$C$23:$Q$78,14,FALSE)</f>
        <v>0</v>
      </c>
      <c r="AF6" s="14" t="str">
        <f>VLOOKUP(D6,'Obs Conc_1'!$C$23:$Q$78,15,FALSE)</f>
        <v>OOR &lt;</v>
      </c>
      <c r="AG6" s="15">
        <f>VLOOKUP(D6,'Obs Conc %CV_1'!$C$23:$Q$78,15,FALSE)</f>
        <v>0</v>
      </c>
    </row>
    <row r="7" spans="1:33" x14ac:dyDescent="0.2">
      <c r="A7" s="2" t="s">
        <v>3</v>
      </c>
      <c r="B7" s="3" t="s">
        <v>35</v>
      </c>
      <c r="C7" s="2" t="s">
        <v>110</v>
      </c>
      <c r="D7" s="6" t="s">
        <v>125</v>
      </c>
      <c r="E7" s="12" t="s">
        <v>0</v>
      </c>
      <c r="F7" s="14" t="str">
        <f>VLOOKUP(D7,'Obs Conc_1'!$C$23:$Q$78,2,FALSE)</f>
        <v>OOR &lt;</v>
      </c>
      <c r="G7" s="15">
        <f>VLOOKUP(D7,'Obs Conc %CV_1'!$C$23:$Q$78,2,FALSE)</f>
        <v>0</v>
      </c>
      <c r="H7" s="14" t="str">
        <f>VLOOKUP(D7,'Obs Conc_1'!$C$23:$Q$78,3,FALSE)</f>
        <v>OOR &lt;</v>
      </c>
      <c r="I7" s="15">
        <f>VLOOKUP(D7,'Obs Conc %CV_1'!$C$23:$Q$78,3,FALSE)</f>
        <v>0</v>
      </c>
      <c r="J7" s="14" t="str">
        <f>VLOOKUP(D7,'Obs Conc_1'!$C$23:$Q$78,4,FALSE)</f>
        <v>OOR &lt;</v>
      </c>
      <c r="K7" s="15">
        <f>VLOOKUP(D7,'Obs Conc %CV_1'!$C$23:$Q$78,4,FALSE)</f>
        <v>0</v>
      </c>
      <c r="L7" s="14" t="str">
        <f>VLOOKUP(D7,'Obs Conc_1'!$C$23:$Q$78,5,FALSE)</f>
        <v>OOR &lt;</v>
      </c>
      <c r="M7" s="15">
        <f>VLOOKUP(D7,'Obs Conc %CV_1'!$C$23:$Q$78,5,FALSE)</f>
        <v>0</v>
      </c>
      <c r="N7" s="14" t="str">
        <f>VLOOKUP(D7,'Obs Conc_1'!$C$23:$Q$78,6,FALSE)</f>
        <v>*6.56</v>
      </c>
      <c r="O7" s="15">
        <f>VLOOKUP(D7,'Obs Conc %CV_1'!$C$23:$Q$78,6,FALSE)</f>
        <v>59.21</v>
      </c>
      <c r="P7" s="14">
        <f>VLOOKUP(D7,'Obs Conc_1'!$C$23:$Q$78,7,FALSE)</f>
        <v>55.37</v>
      </c>
      <c r="Q7" s="15">
        <f>VLOOKUP(D7,'Obs Conc %CV_1'!$C$23:$Q$78,7,FALSE)</f>
        <v>13.35</v>
      </c>
      <c r="R7" s="14">
        <f>VLOOKUP(D7,'Obs Conc_1'!$C$23:$Q$78,8,FALSE)</f>
        <v>22.31</v>
      </c>
      <c r="S7" s="15">
        <f>VLOOKUP(D7,'Obs Conc %CV_1'!$C$23:$Q$78,8,FALSE)</f>
        <v>24.31</v>
      </c>
      <c r="T7" s="14">
        <f>VLOOKUP(D7,'Obs Conc_1'!$C$23:$Q$78,9,FALSE)</f>
        <v>4.12</v>
      </c>
      <c r="U7" s="15">
        <f>VLOOKUP(D7,'Obs Conc %CV_1'!$C$23:$Q$78,9,FALSE)</f>
        <v>25.17</v>
      </c>
      <c r="V7" s="14">
        <f>VLOOKUP(D7,'Obs Conc_1'!$C$23:$Q$78,10,FALSE)</f>
        <v>655.39</v>
      </c>
      <c r="W7" s="15">
        <f>VLOOKUP(D7,'Obs Conc %CV_1'!$C$23:$Q$78,10,FALSE)</f>
        <v>6.59</v>
      </c>
      <c r="X7" s="14" t="str">
        <f>VLOOKUP(D7,'Obs Conc_1'!$C$23:$Q$78,11,FALSE)</f>
        <v>OOR &lt;</v>
      </c>
      <c r="Y7" s="15">
        <f>VLOOKUP(D7,'Obs Conc %CV_1'!$C$23:$Q$78,11,FALSE)</f>
        <v>0</v>
      </c>
      <c r="Z7" s="14" t="str">
        <f>VLOOKUP(D7,'Obs Conc_1'!$C$23:$Q$78,12,FALSE)</f>
        <v>OOR &lt;</v>
      </c>
      <c r="AA7" s="15">
        <f>VLOOKUP(D7,'Obs Conc %CV_1'!$C$23:$Q$78,12,FALSE)</f>
        <v>0</v>
      </c>
      <c r="AB7" s="14" t="str">
        <f>VLOOKUP(D7,'Obs Conc_1'!$C$23:$Q$78,13,FALSE)</f>
        <v>OOR &lt;</v>
      </c>
      <c r="AC7" s="15">
        <f>VLOOKUP(D7,'Obs Conc %CV_1'!$C$23:$Q$78,13,FALSE)</f>
        <v>0</v>
      </c>
      <c r="AD7" s="14" t="str">
        <f>VLOOKUP(D7,'Obs Conc_1'!$C$23:$Q$78,14,FALSE)</f>
        <v>OOR &lt;</v>
      </c>
      <c r="AE7" s="15">
        <f>VLOOKUP(D7,'Obs Conc %CV_1'!$C$23:$Q$78,14,FALSE)</f>
        <v>0</v>
      </c>
      <c r="AF7" s="14" t="str">
        <f>VLOOKUP(D7,'Obs Conc_1'!$C$23:$Q$78,15,FALSE)</f>
        <v>OOR &lt;</v>
      </c>
      <c r="AG7" s="15">
        <f>VLOOKUP(D7,'Obs Conc %CV_1'!$C$23:$Q$78,15,FALSE)</f>
        <v>0</v>
      </c>
    </row>
    <row r="8" spans="1:33" x14ac:dyDescent="0.2">
      <c r="A8" s="2" t="s">
        <v>3</v>
      </c>
      <c r="B8" s="3" t="s">
        <v>35</v>
      </c>
      <c r="C8" s="2" t="s">
        <v>109</v>
      </c>
      <c r="D8" s="6" t="s">
        <v>126</v>
      </c>
      <c r="E8" s="12" t="s">
        <v>0</v>
      </c>
      <c r="F8" s="14" t="str">
        <f>VLOOKUP(D8,'Obs Conc_1'!$C$23:$Q$78,2,FALSE)</f>
        <v>OOR &lt;</v>
      </c>
      <c r="G8" s="15">
        <f>VLOOKUP(D8,'Obs Conc %CV_1'!$C$23:$Q$78,2,FALSE)</f>
        <v>0</v>
      </c>
      <c r="H8" s="14" t="str">
        <f>VLOOKUP(D8,'Obs Conc_1'!$C$23:$Q$78,3,FALSE)</f>
        <v>OOR &lt;</v>
      </c>
      <c r="I8" s="15">
        <f>VLOOKUP(D8,'Obs Conc %CV_1'!$C$23:$Q$78,3,FALSE)</f>
        <v>0</v>
      </c>
      <c r="J8" s="14" t="str">
        <f>VLOOKUP(D8,'Obs Conc_1'!$C$23:$Q$78,4,FALSE)</f>
        <v>OOR &lt;</v>
      </c>
      <c r="K8" s="15">
        <f>VLOOKUP(D8,'Obs Conc %CV_1'!$C$23:$Q$78,4,FALSE)</f>
        <v>0</v>
      </c>
      <c r="L8" s="14" t="str">
        <f>VLOOKUP(D8,'Obs Conc_1'!$C$23:$Q$78,5,FALSE)</f>
        <v>OOR &lt;</v>
      </c>
      <c r="M8" s="15">
        <f>VLOOKUP(D8,'Obs Conc %CV_1'!$C$23:$Q$78,5,FALSE)</f>
        <v>0</v>
      </c>
      <c r="N8" s="14" t="str">
        <f>VLOOKUP(D8,'Obs Conc_1'!$C$23:$Q$78,6,FALSE)</f>
        <v>*0.01</v>
      </c>
      <c r="O8" s="15">
        <f>VLOOKUP(D8,'Obs Conc %CV_1'!$C$23:$Q$78,6,FALSE)</f>
        <v>0</v>
      </c>
      <c r="P8" s="14">
        <f>VLOOKUP(D8,'Obs Conc_1'!$C$23:$Q$78,7,FALSE)</f>
        <v>90.99</v>
      </c>
      <c r="Q8" s="15">
        <f>VLOOKUP(D8,'Obs Conc %CV_1'!$C$23:$Q$78,7,FALSE)</f>
        <v>6.18</v>
      </c>
      <c r="R8" s="14">
        <f>VLOOKUP(D8,'Obs Conc_1'!$C$23:$Q$78,8,FALSE)</f>
        <v>2.81</v>
      </c>
      <c r="S8" s="15">
        <f>VLOOKUP(D8,'Obs Conc %CV_1'!$C$23:$Q$78,8,FALSE)</f>
        <v>19.940000000000001</v>
      </c>
      <c r="T8" s="14">
        <f>VLOOKUP(D8,'Obs Conc_1'!$C$23:$Q$78,9,FALSE)</f>
        <v>10.4</v>
      </c>
      <c r="U8" s="15">
        <f>VLOOKUP(D8,'Obs Conc %CV_1'!$C$23:$Q$78,9,FALSE)</f>
        <v>17.37</v>
      </c>
      <c r="V8" s="14">
        <f>VLOOKUP(D8,'Obs Conc_1'!$C$23:$Q$78,10,FALSE)</f>
        <v>423.87</v>
      </c>
      <c r="W8" s="15">
        <f>VLOOKUP(D8,'Obs Conc %CV_1'!$C$23:$Q$78,10,FALSE)</f>
        <v>7.74</v>
      </c>
      <c r="X8" s="14" t="str">
        <f>VLOOKUP(D8,'Obs Conc_1'!$C$23:$Q$78,11,FALSE)</f>
        <v>OOR &lt;</v>
      </c>
      <c r="Y8" s="15">
        <f>VLOOKUP(D8,'Obs Conc %CV_1'!$C$23:$Q$78,11,FALSE)</f>
        <v>0</v>
      </c>
      <c r="Z8" s="14" t="str">
        <f>VLOOKUP(D8,'Obs Conc_1'!$C$23:$Q$78,12,FALSE)</f>
        <v>OOR &lt;</v>
      </c>
      <c r="AA8" s="15">
        <f>VLOOKUP(D8,'Obs Conc %CV_1'!$C$23:$Q$78,12,FALSE)</f>
        <v>0</v>
      </c>
      <c r="AB8" s="14" t="str">
        <f>VLOOKUP(D8,'Obs Conc_1'!$C$23:$Q$78,13,FALSE)</f>
        <v>OOR &lt;</v>
      </c>
      <c r="AC8" s="15">
        <f>VLOOKUP(D8,'Obs Conc %CV_1'!$C$23:$Q$78,13,FALSE)</f>
        <v>0</v>
      </c>
      <c r="AD8" s="14" t="str">
        <f>VLOOKUP(D8,'Obs Conc_1'!$C$23:$Q$78,14,FALSE)</f>
        <v>OOR &lt;</v>
      </c>
      <c r="AE8" s="15">
        <f>VLOOKUP(D8,'Obs Conc %CV_1'!$C$23:$Q$78,14,FALSE)</f>
        <v>0</v>
      </c>
      <c r="AF8" s="14" t="str">
        <f>VLOOKUP(D8,'Obs Conc_1'!$C$23:$Q$78,15,FALSE)</f>
        <v>OOR &lt;</v>
      </c>
      <c r="AG8" s="15">
        <f>VLOOKUP(D8,'Obs Conc %CV_1'!$C$23:$Q$78,15,FALSE)</f>
        <v>0</v>
      </c>
    </row>
    <row r="9" spans="1:33" x14ac:dyDescent="0.2">
      <c r="A9" s="2" t="s">
        <v>3</v>
      </c>
      <c r="B9" s="3" t="s">
        <v>35</v>
      </c>
      <c r="C9" s="2" t="s">
        <v>108</v>
      </c>
      <c r="D9" s="6" t="s">
        <v>127</v>
      </c>
      <c r="E9" s="12" t="s">
        <v>0</v>
      </c>
      <c r="F9" s="14" t="str">
        <f>VLOOKUP(D9,'Obs Conc_1'!$C$23:$Q$78,2,FALSE)</f>
        <v>OOR &lt;</v>
      </c>
      <c r="G9" s="15">
        <f>VLOOKUP(D9,'Obs Conc %CV_1'!$C$23:$Q$78,2,FALSE)</f>
        <v>0</v>
      </c>
      <c r="H9" s="14" t="str">
        <f>VLOOKUP(D9,'Obs Conc_1'!$C$23:$Q$78,3,FALSE)</f>
        <v>OOR &lt;</v>
      </c>
      <c r="I9" s="15">
        <f>VLOOKUP(D9,'Obs Conc %CV_1'!$C$23:$Q$78,3,FALSE)</f>
        <v>0</v>
      </c>
      <c r="J9" s="14" t="str">
        <f>VLOOKUP(D9,'Obs Conc_1'!$C$23:$Q$78,4,FALSE)</f>
        <v>OOR &lt;</v>
      </c>
      <c r="K9" s="15">
        <f>VLOOKUP(D9,'Obs Conc %CV_1'!$C$23:$Q$78,4,FALSE)</f>
        <v>0</v>
      </c>
      <c r="L9" s="14" t="str">
        <f>VLOOKUP(D9,'Obs Conc_1'!$C$23:$Q$78,5,FALSE)</f>
        <v>OOR &lt;</v>
      </c>
      <c r="M9" s="15">
        <f>VLOOKUP(D9,'Obs Conc %CV_1'!$C$23:$Q$78,5,FALSE)</f>
        <v>0</v>
      </c>
      <c r="N9" s="14" t="str">
        <f>VLOOKUP(D9,'Obs Conc_1'!$C$23:$Q$78,6,FALSE)</f>
        <v>*3.83</v>
      </c>
      <c r="O9" s="15">
        <f>VLOOKUP(D9,'Obs Conc %CV_1'!$C$23:$Q$78,6,FALSE)</f>
        <v>97.42</v>
      </c>
      <c r="P9" s="14">
        <f>VLOOKUP(D9,'Obs Conc_1'!$C$23:$Q$78,7,FALSE)</f>
        <v>59.92</v>
      </c>
      <c r="Q9" s="15">
        <f>VLOOKUP(D9,'Obs Conc %CV_1'!$C$23:$Q$78,7,FALSE)</f>
        <v>7.63</v>
      </c>
      <c r="R9" s="14">
        <f>VLOOKUP(D9,'Obs Conc_1'!$C$23:$Q$78,8,FALSE)</f>
        <v>2.5</v>
      </c>
      <c r="S9" s="15">
        <f>VLOOKUP(D9,'Obs Conc %CV_1'!$C$23:$Q$78,8,FALSE)</f>
        <v>20.07</v>
      </c>
      <c r="T9" s="14" t="str">
        <f>VLOOKUP(D9,'Obs Conc_1'!$C$23:$Q$78,9,FALSE)</f>
        <v>OOR &lt;</v>
      </c>
      <c r="U9" s="15">
        <f>VLOOKUP(D9,'Obs Conc %CV_1'!$C$23:$Q$78,9,FALSE)</f>
        <v>0</v>
      </c>
      <c r="V9" s="14">
        <f>VLOOKUP(D9,'Obs Conc_1'!$C$23:$Q$78,10,FALSE)</f>
        <v>416.77</v>
      </c>
      <c r="W9" s="15">
        <f>VLOOKUP(D9,'Obs Conc %CV_1'!$C$23:$Q$78,10,FALSE)</f>
        <v>1.61</v>
      </c>
      <c r="X9" s="14" t="str">
        <f>VLOOKUP(D9,'Obs Conc_1'!$C$23:$Q$78,11,FALSE)</f>
        <v>OOR &lt;</v>
      </c>
      <c r="Y9" s="15">
        <f>VLOOKUP(D9,'Obs Conc %CV_1'!$C$23:$Q$78,11,FALSE)</f>
        <v>0</v>
      </c>
      <c r="Z9" s="14" t="str">
        <f>VLOOKUP(D9,'Obs Conc_1'!$C$23:$Q$78,12,FALSE)</f>
        <v>OOR &lt;</v>
      </c>
      <c r="AA9" s="15">
        <f>VLOOKUP(D9,'Obs Conc %CV_1'!$C$23:$Q$78,12,FALSE)</f>
        <v>0</v>
      </c>
      <c r="AB9" s="14" t="str">
        <f>VLOOKUP(D9,'Obs Conc_1'!$C$23:$Q$78,13,FALSE)</f>
        <v>OOR &lt;</v>
      </c>
      <c r="AC9" s="15">
        <f>VLOOKUP(D9,'Obs Conc %CV_1'!$C$23:$Q$78,13,FALSE)</f>
        <v>0</v>
      </c>
      <c r="AD9" s="14" t="str">
        <f>VLOOKUP(D9,'Obs Conc_1'!$C$23:$Q$78,14,FALSE)</f>
        <v>OOR &lt;</v>
      </c>
      <c r="AE9" s="15">
        <f>VLOOKUP(D9,'Obs Conc %CV_1'!$C$23:$Q$78,14,FALSE)</f>
        <v>0</v>
      </c>
      <c r="AF9" s="14" t="str">
        <f>VLOOKUP(D9,'Obs Conc_1'!$C$23:$Q$78,15,FALSE)</f>
        <v>OOR &lt;</v>
      </c>
      <c r="AG9" s="15">
        <f>VLOOKUP(D9,'Obs Conc %CV_1'!$C$23:$Q$78,15,FALSE)</f>
        <v>0</v>
      </c>
    </row>
    <row r="10" spans="1:33" x14ac:dyDescent="0.2">
      <c r="A10" s="2" t="s">
        <v>3</v>
      </c>
      <c r="B10" s="3" t="s">
        <v>35</v>
      </c>
      <c r="C10" s="2" t="s">
        <v>107</v>
      </c>
      <c r="D10" s="6" t="s">
        <v>128</v>
      </c>
      <c r="E10" s="12" t="s">
        <v>0</v>
      </c>
      <c r="F10" s="14" t="str">
        <f>VLOOKUP(D10,'Obs Conc_1'!$C$23:$Q$78,2,FALSE)</f>
        <v>OOR &lt;</v>
      </c>
      <c r="G10" s="15">
        <f>VLOOKUP(D10,'Obs Conc %CV_1'!$C$23:$Q$78,2,FALSE)</f>
        <v>0</v>
      </c>
      <c r="H10" s="14" t="str">
        <f>VLOOKUP(D10,'Obs Conc_1'!$C$23:$Q$78,3,FALSE)</f>
        <v>OOR &lt;</v>
      </c>
      <c r="I10" s="15">
        <f>VLOOKUP(D10,'Obs Conc %CV_1'!$C$23:$Q$78,3,FALSE)</f>
        <v>0</v>
      </c>
      <c r="J10" s="14" t="str">
        <f>VLOOKUP(D10,'Obs Conc_1'!$C$23:$Q$78,4,FALSE)</f>
        <v>OOR &lt;</v>
      </c>
      <c r="K10" s="15">
        <f>VLOOKUP(D10,'Obs Conc %CV_1'!$C$23:$Q$78,4,FALSE)</f>
        <v>0</v>
      </c>
      <c r="L10" s="14" t="str">
        <f>VLOOKUP(D10,'Obs Conc_1'!$C$23:$Q$78,5,FALSE)</f>
        <v>OOR &lt;</v>
      </c>
      <c r="M10" s="15">
        <f>VLOOKUP(D10,'Obs Conc %CV_1'!$C$23:$Q$78,5,FALSE)</f>
        <v>0</v>
      </c>
      <c r="N10" s="14" t="str">
        <f>VLOOKUP(D10,'Obs Conc_1'!$C$23:$Q$78,6,FALSE)</f>
        <v>OOR &lt;</v>
      </c>
      <c r="O10" s="15">
        <f>VLOOKUP(D10,'Obs Conc %CV_1'!$C$23:$Q$78,6,FALSE)</f>
        <v>0</v>
      </c>
      <c r="P10" s="14">
        <f>VLOOKUP(D10,'Obs Conc_1'!$C$23:$Q$78,7,FALSE)</f>
        <v>42.76</v>
      </c>
      <c r="Q10" s="15">
        <f>VLOOKUP(D10,'Obs Conc %CV_1'!$C$23:$Q$78,7,FALSE)</f>
        <v>0</v>
      </c>
      <c r="R10" s="14">
        <f>VLOOKUP(D10,'Obs Conc_1'!$C$23:$Q$78,8,FALSE)</f>
        <v>5.77</v>
      </c>
      <c r="S10" s="15">
        <f>VLOOKUP(D10,'Obs Conc %CV_1'!$C$23:$Q$78,8,FALSE)</f>
        <v>0</v>
      </c>
      <c r="T10" s="14" t="str">
        <f>VLOOKUP(D10,'Obs Conc_1'!$C$23:$Q$78,9,FALSE)</f>
        <v>OOR &lt;</v>
      </c>
      <c r="U10" s="15">
        <f>VLOOKUP(D10,'Obs Conc %CV_1'!$C$23:$Q$78,9,FALSE)</f>
        <v>0</v>
      </c>
      <c r="V10" s="14">
        <f>VLOOKUP(D10,'Obs Conc_1'!$C$23:$Q$78,10,FALSE)</f>
        <v>613.32000000000005</v>
      </c>
      <c r="W10" s="15">
        <f>VLOOKUP(D10,'Obs Conc %CV_1'!$C$23:$Q$78,10,FALSE)</f>
        <v>0</v>
      </c>
      <c r="X10" s="14" t="str">
        <f>VLOOKUP(D10,'Obs Conc_1'!$C$23:$Q$78,11,FALSE)</f>
        <v>OOR &lt;</v>
      </c>
      <c r="Y10" s="15">
        <f>VLOOKUP(D10,'Obs Conc %CV_1'!$C$23:$Q$78,11,FALSE)</f>
        <v>0</v>
      </c>
      <c r="Z10" s="14" t="str">
        <f>VLOOKUP(D10,'Obs Conc_1'!$C$23:$Q$78,12,FALSE)</f>
        <v>OOR &lt;</v>
      </c>
      <c r="AA10" s="15">
        <f>VLOOKUP(D10,'Obs Conc %CV_1'!$C$23:$Q$78,12,FALSE)</f>
        <v>0</v>
      </c>
      <c r="AB10" s="14" t="str">
        <f>VLOOKUP(D10,'Obs Conc_1'!$C$23:$Q$78,13,FALSE)</f>
        <v>OOR &lt;</v>
      </c>
      <c r="AC10" s="15">
        <f>VLOOKUP(D10,'Obs Conc %CV_1'!$C$23:$Q$78,13,FALSE)</f>
        <v>0</v>
      </c>
      <c r="AD10" s="14" t="str">
        <f>VLOOKUP(D10,'Obs Conc_1'!$C$23:$Q$78,14,FALSE)</f>
        <v>OOR &lt;</v>
      </c>
      <c r="AE10" s="15">
        <f>VLOOKUP(D10,'Obs Conc %CV_1'!$C$23:$Q$78,14,FALSE)</f>
        <v>0</v>
      </c>
      <c r="AF10" s="14" t="str">
        <f>VLOOKUP(D10,'Obs Conc_1'!$C$23:$Q$78,15,FALSE)</f>
        <v>OOR &lt;</v>
      </c>
      <c r="AG10" s="15">
        <f>VLOOKUP(D10,'Obs Conc %CV_1'!$C$23:$Q$78,15,FALSE)</f>
        <v>0</v>
      </c>
    </row>
    <row r="11" spans="1:33" x14ac:dyDescent="0.2">
      <c r="A11" s="2" t="s">
        <v>3</v>
      </c>
      <c r="B11" s="3" t="s">
        <v>35</v>
      </c>
      <c r="C11" s="2" t="s">
        <v>106</v>
      </c>
      <c r="D11" s="6" t="s">
        <v>129</v>
      </c>
      <c r="E11" s="12" t="s">
        <v>0</v>
      </c>
      <c r="F11" s="14" t="str">
        <f>VLOOKUP(D11,'Obs Conc_1'!$C$23:$Q$78,2,FALSE)</f>
        <v>OOR &lt;</v>
      </c>
      <c r="G11" s="15">
        <f>VLOOKUP(D11,'Obs Conc %CV_1'!$C$23:$Q$78,2,FALSE)</f>
        <v>0</v>
      </c>
      <c r="H11" s="14" t="str">
        <f>VLOOKUP(D11,'Obs Conc_1'!$C$23:$Q$78,3,FALSE)</f>
        <v>OOR &lt;</v>
      </c>
      <c r="I11" s="15">
        <f>VLOOKUP(D11,'Obs Conc %CV_1'!$C$23:$Q$78,3,FALSE)</f>
        <v>0</v>
      </c>
      <c r="J11" s="14" t="str">
        <f>VLOOKUP(D11,'Obs Conc_1'!$C$23:$Q$78,4,FALSE)</f>
        <v>OOR &lt;</v>
      </c>
      <c r="K11" s="15">
        <f>VLOOKUP(D11,'Obs Conc %CV_1'!$C$23:$Q$78,4,FALSE)</f>
        <v>0</v>
      </c>
      <c r="L11" s="14" t="str">
        <f>VLOOKUP(D11,'Obs Conc_1'!$C$23:$Q$78,5,FALSE)</f>
        <v>OOR &lt;</v>
      </c>
      <c r="M11" s="15">
        <f>VLOOKUP(D11,'Obs Conc %CV_1'!$C$23:$Q$78,5,FALSE)</f>
        <v>0</v>
      </c>
      <c r="N11" s="14">
        <f>VLOOKUP(D11,'Obs Conc_1'!$C$23:$Q$78,6,FALSE)</f>
        <v>9.36</v>
      </c>
      <c r="O11" s="15">
        <f>VLOOKUP(D11,'Obs Conc %CV_1'!$C$23:$Q$78,6,FALSE)</f>
        <v>0</v>
      </c>
      <c r="P11" s="14">
        <f>VLOOKUP(D11,'Obs Conc_1'!$C$23:$Q$78,7,FALSE)</f>
        <v>347.38</v>
      </c>
      <c r="Q11" s="15">
        <f>VLOOKUP(D11,'Obs Conc %CV_1'!$C$23:$Q$78,7,FALSE)</f>
        <v>0</v>
      </c>
      <c r="R11" s="14">
        <f>VLOOKUP(D11,'Obs Conc_1'!$C$23:$Q$78,8,FALSE)</f>
        <v>47.59</v>
      </c>
      <c r="S11" s="15">
        <f>VLOOKUP(D11,'Obs Conc %CV_1'!$C$23:$Q$78,8,FALSE)</f>
        <v>0</v>
      </c>
      <c r="T11" s="14">
        <f>VLOOKUP(D11,'Obs Conc_1'!$C$23:$Q$78,9,FALSE)</f>
        <v>17.34</v>
      </c>
      <c r="U11" s="15">
        <f>VLOOKUP(D11,'Obs Conc %CV_1'!$C$23:$Q$78,9,FALSE)</f>
        <v>0</v>
      </c>
      <c r="V11" s="14">
        <f>VLOOKUP(D11,'Obs Conc_1'!$C$23:$Q$78,10,FALSE)</f>
        <v>308.14999999999998</v>
      </c>
      <c r="W11" s="15">
        <f>VLOOKUP(D11,'Obs Conc %CV_1'!$C$23:$Q$78,10,FALSE)</f>
        <v>0</v>
      </c>
      <c r="X11" s="14" t="str">
        <f>VLOOKUP(D11,'Obs Conc_1'!$C$23:$Q$78,11,FALSE)</f>
        <v>OOR &lt;</v>
      </c>
      <c r="Y11" s="15">
        <f>VLOOKUP(D11,'Obs Conc %CV_1'!$C$23:$Q$78,11,FALSE)</f>
        <v>0</v>
      </c>
      <c r="Z11" s="14" t="str">
        <f>VLOOKUP(D11,'Obs Conc_1'!$C$23:$Q$78,12,FALSE)</f>
        <v>OOR &lt;</v>
      </c>
      <c r="AA11" s="15">
        <f>VLOOKUP(D11,'Obs Conc %CV_1'!$C$23:$Q$78,12,FALSE)</f>
        <v>0</v>
      </c>
      <c r="AB11" s="14" t="str">
        <f>VLOOKUP(D11,'Obs Conc_1'!$C$23:$Q$78,13,FALSE)</f>
        <v>OOR &lt;</v>
      </c>
      <c r="AC11" s="15">
        <f>VLOOKUP(D11,'Obs Conc %CV_1'!$C$23:$Q$78,13,FALSE)</f>
        <v>0</v>
      </c>
      <c r="AD11" s="14" t="str">
        <f>VLOOKUP(D11,'Obs Conc_1'!$C$23:$Q$78,14,FALSE)</f>
        <v>OOR &lt;</v>
      </c>
      <c r="AE11" s="15">
        <f>VLOOKUP(D11,'Obs Conc %CV_1'!$C$23:$Q$78,14,FALSE)</f>
        <v>0</v>
      </c>
      <c r="AF11" s="14" t="str">
        <f>VLOOKUP(D11,'Obs Conc_1'!$C$23:$Q$78,15,FALSE)</f>
        <v>OOR &lt;</v>
      </c>
      <c r="AG11" s="15">
        <f>VLOOKUP(D11,'Obs Conc %CV_1'!$C$23:$Q$78,15,FALSE)</f>
        <v>0</v>
      </c>
    </row>
    <row r="12" spans="1:33" x14ac:dyDescent="0.2">
      <c r="A12" s="2" t="s">
        <v>3</v>
      </c>
      <c r="B12" s="3" t="s">
        <v>35</v>
      </c>
      <c r="C12" s="2" t="s">
        <v>105</v>
      </c>
      <c r="D12" s="6" t="s">
        <v>130</v>
      </c>
      <c r="E12" s="12" t="s">
        <v>0</v>
      </c>
      <c r="F12" s="14" t="str">
        <f>VLOOKUP(D12,'Obs Conc_1'!$C$23:$Q$78,2,FALSE)</f>
        <v>OOR &lt;</v>
      </c>
      <c r="G12" s="15">
        <f>VLOOKUP(D12,'Obs Conc %CV_1'!$C$23:$Q$78,2,FALSE)</f>
        <v>0</v>
      </c>
      <c r="H12" s="14" t="str">
        <f>VLOOKUP(D12,'Obs Conc_1'!$C$23:$Q$78,3,FALSE)</f>
        <v>OOR &lt;</v>
      </c>
      <c r="I12" s="15">
        <f>VLOOKUP(D12,'Obs Conc %CV_1'!$C$23:$Q$78,3,FALSE)</f>
        <v>0</v>
      </c>
      <c r="J12" s="14" t="str">
        <f>VLOOKUP(D12,'Obs Conc_1'!$C$23:$Q$78,4,FALSE)</f>
        <v>OOR &lt;</v>
      </c>
      <c r="K12" s="15">
        <f>VLOOKUP(D12,'Obs Conc %CV_1'!$C$23:$Q$78,4,FALSE)</f>
        <v>0</v>
      </c>
      <c r="L12" s="14" t="str">
        <f>VLOOKUP(D12,'Obs Conc_1'!$C$23:$Q$78,5,FALSE)</f>
        <v>OOR &lt;</v>
      </c>
      <c r="M12" s="15">
        <f>VLOOKUP(D12,'Obs Conc %CV_1'!$C$23:$Q$78,5,FALSE)</f>
        <v>0</v>
      </c>
      <c r="N12" s="14" t="str">
        <f>VLOOKUP(D12,'Obs Conc_1'!$C$23:$Q$78,6,FALSE)</f>
        <v>OOR &lt;</v>
      </c>
      <c r="O12" s="15">
        <f>VLOOKUP(D12,'Obs Conc %CV_1'!$C$23:$Q$78,6,FALSE)</f>
        <v>0</v>
      </c>
      <c r="P12" s="14">
        <f>VLOOKUP(D12,'Obs Conc_1'!$C$23:$Q$78,7,FALSE)</f>
        <v>13.34</v>
      </c>
      <c r="Q12" s="15">
        <f>VLOOKUP(D12,'Obs Conc %CV_1'!$C$23:$Q$78,7,FALSE)</f>
        <v>0</v>
      </c>
      <c r="R12" s="14" t="str">
        <f>VLOOKUP(D12,'Obs Conc_1'!$C$23:$Q$78,8,FALSE)</f>
        <v>*2.06</v>
      </c>
      <c r="S12" s="15">
        <f>VLOOKUP(D12,'Obs Conc %CV_1'!$C$23:$Q$78,8,FALSE)</f>
        <v>0</v>
      </c>
      <c r="T12" s="14" t="str">
        <f>VLOOKUP(D12,'Obs Conc_1'!$C$23:$Q$78,9,FALSE)</f>
        <v>OOR &lt;</v>
      </c>
      <c r="U12" s="15">
        <f>VLOOKUP(D12,'Obs Conc %CV_1'!$C$23:$Q$78,9,FALSE)</f>
        <v>0</v>
      </c>
      <c r="V12" s="14">
        <f>VLOOKUP(D12,'Obs Conc_1'!$C$23:$Q$78,10,FALSE)</f>
        <v>267.51</v>
      </c>
      <c r="W12" s="15">
        <f>VLOOKUP(D12,'Obs Conc %CV_1'!$C$23:$Q$78,10,FALSE)</f>
        <v>0</v>
      </c>
      <c r="X12" s="14" t="str">
        <f>VLOOKUP(D12,'Obs Conc_1'!$C$23:$Q$78,11,FALSE)</f>
        <v>OOR &lt;</v>
      </c>
      <c r="Y12" s="15">
        <f>VLOOKUP(D12,'Obs Conc %CV_1'!$C$23:$Q$78,11,FALSE)</f>
        <v>0</v>
      </c>
      <c r="Z12" s="14" t="str">
        <f>VLOOKUP(D12,'Obs Conc_1'!$C$23:$Q$78,12,FALSE)</f>
        <v>OOR &lt;</v>
      </c>
      <c r="AA12" s="15">
        <f>VLOOKUP(D12,'Obs Conc %CV_1'!$C$23:$Q$78,12,FALSE)</f>
        <v>0</v>
      </c>
      <c r="AB12" s="14" t="str">
        <f>VLOOKUP(D12,'Obs Conc_1'!$C$23:$Q$78,13,FALSE)</f>
        <v>OOR &lt;</v>
      </c>
      <c r="AC12" s="15">
        <f>VLOOKUP(D12,'Obs Conc %CV_1'!$C$23:$Q$78,13,FALSE)</f>
        <v>0</v>
      </c>
      <c r="AD12" s="14" t="str">
        <f>VLOOKUP(D12,'Obs Conc_1'!$C$23:$Q$78,14,FALSE)</f>
        <v>OOR &lt;</v>
      </c>
      <c r="AE12" s="15">
        <f>VLOOKUP(D12,'Obs Conc %CV_1'!$C$23:$Q$78,14,FALSE)</f>
        <v>0</v>
      </c>
      <c r="AF12" s="14" t="str">
        <f>VLOOKUP(D12,'Obs Conc_1'!$C$23:$Q$78,15,FALSE)</f>
        <v>OOR &lt;</v>
      </c>
      <c r="AG12" s="15">
        <f>VLOOKUP(D12,'Obs Conc %CV_1'!$C$23:$Q$78,15,FALSE)</f>
        <v>0</v>
      </c>
    </row>
    <row r="13" spans="1:33" x14ac:dyDescent="0.2">
      <c r="A13" s="2" t="s">
        <v>3</v>
      </c>
      <c r="B13" s="3" t="s">
        <v>35</v>
      </c>
      <c r="C13" s="2" t="s">
        <v>104</v>
      </c>
      <c r="D13" s="6" t="s">
        <v>131</v>
      </c>
      <c r="E13" s="12" t="s">
        <v>0</v>
      </c>
      <c r="F13" s="14" t="str">
        <f>VLOOKUP(D13,'Obs Conc_1'!$C$23:$Q$78,2,FALSE)</f>
        <v>OOR &lt;</v>
      </c>
      <c r="G13" s="15">
        <f>VLOOKUP(D13,'Obs Conc %CV_1'!$C$23:$Q$78,2,FALSE)</f>
        <v>0</v>
      </c>
      <c r="H13" s="14" t="str">
        <f>VLOOKUP(D13,'Obs Conc_1'!$C$23:$Q$78,3,FALSE)</f>
        <v>OOR &lt;</v>
      </c>
      <c r="I13" s="15">
        <f>VLOOKUP(D13,'Obs Conc %CV_1'!$C$23:$Q$78,3,FALSE)</f>
        <v>0</v>
      </c>
      <c r="J13" s="14" t="str">
        <f>VLOOKUP(D13,'Obs Conc_1'!$C$23:$Q$78,4,FALSE)</f>
        <v>OOR &lt;</v>
      </c>
      <c r="K13" s="15">
        <f>VLOOKUP(D13,'Obs Conc %CV_1'!$C$23:$Q$78,4,FALSE)</f>
        <v>0</v>
      </c>
      <c r="L13" s="14" t="str">
        <f>VLOOKUP(D13,'Obs Conc_1'!$C$23:$Q$78,5,FALSE)</f>
        <v>OOR &lt;</v>
      </c>
      <c r="M13" s="15">
        <f>VLOOKUP(D13,'Obs Conc %CV_1'!$C$23:$Q$78,5,FALSE)</f>
        <v>0</v>
      </c>
      <c r="N13" s="14" t="str">
        <f>VLOOKUP(D13,'Obs Conc_1'!$C$23:$Q$78,6,FALSE)</f>
        <v>*1.21</v>
      </c>
      <c r="O13" s="15">
        <f>VLOOKUP(D13,'Obs Conc %CV_1'!$C$23:$Q$78,6,FALSE)</f>
        <v>0</v>
      </c>
      <c r="P13" s="14">
        <f>VLOOKUP(D13,'Obs Conc_1'!$C$23:$Q$78,7,FALSE)</f>
        <v>8.49</v>
      </c>
      <c r="Q13" s="15">
        <f>VLOOKUP(D13,'Obs Conc %CV_1'!$C$23:$Q$78,7,FALSE)</f>
        <v>0</v>
      </c>
      <c r="R13" s="14">
        <f>VLOOKUP(D13,'Obs Conc_1'!$C$23:$Q$78,8,FALSE)</f>
        <v>8.1</v>
      </c>
      <c r="S13" s="15">
        <f>VLOOKUP(D13,'Obs Conc %CV_1'!$C$23:$Q$78,8,FALSE)</f>
        <v>0</v>
      </c>
      <c r="T13" s="14" t="str">
        <f>VLOOKUP(D13,'Obs Conc_1'!$C$23:$Q$78,9,FALSE)</f>
        <v>OOR &lt;</v>
      </c>
      <c r="U13" s="15">
        <f>VLOOKUP(D13,'Obs Conc %CV_1'!$C$23:$Q$78,9,FALSE)</f>
        <v>0</v>
      </c>
      <c r="V13" s="14">
        <f>VLOOKUP(D13,'Obs Conc_1'!$C$23:$Q$78,10,FALSE)</f>
        <v>327.98</v>
      </c>
      <c r="W13" s="15">
        <f>VLOOKUP(D13,'Obs Conc %CV_1'!$C$23:$Q$78,10,FALSE)</f>
        <v>0</v>
      </c>
      <c r="X13" s="14" t="str">
        <f>VLOOKUP(D13,'Obs Conc_1'!$C$23:$Q$78,11,FALSE)</f>
        <v>OOR &lt;</v>
      </c>
      <c r="Y13" s="15">
        <f>VLOOKUP(D13,'Obs Conc %CV_1'!$C$23:$Q$78,11,FALSE)</f>
        <v>0</v>
      </c>
      <c r="Z13" s="14" t="str">
        <f>VLOOKUP(D13,'Obs Conc_1'!$C$23:$Q$78,12,FALSE)</f>
        <v>OOR &lt;</v>
      </c>
      <c r="AA13" s="15">
        <f>VLOOKUP(D13,'Obs Conc %CV_1'!$C$23:$Q$78,12,FALSE)</f>
        <v>0</v>
      </c>
      <c r="AB13" s="14" t="str">
        <f>VLOOKUP(D13,'Obs Conc_1'!$C$23:$Q$78,13,FALSE)</f>
        <v>OOR &lt;</v>
      </c>
      <c r="AC13" s="15">
        <f>VLOOKUP(D13,'Obs Conc %CV_1'!$C$23:$Q$78,13,FALSE)</f>
        <v>0</v>
      </c>
      <c r="AD13" s="14" t="str">
        <f>VLOOKUP(D13,'Obs Conc_1'!$C$23:$Q$78,14,FALSE)</f>
        <v>OOR &lt;</v>
      </c>
      <c r="AE13" s="15">
        <f>VLOOKUP(D13,'Obs Conc %CV_1'!$C$23:$Q$78,14,FALSE)</f>
        <v>0</v>
      </c>
      <c r="AF13" s="14" t="str">
        <f>VLOOKUP(D13,'Obs Conc_1'!$C$23:$Q$78,15,FALSE)</f>
        <v>OOR &lt;</v>
      </c>
      <c r="AG13" s="15">
        <f>VLOOKUP(D13,'Obs Conc %CV_1'!$C$23:$Q$78,15,FALSE)</f>
        <v>0</v>
      </c>
    </row>
    <row r="14" spans="1:33" x14ac:dyDescent="0.2">
      <c r="A14" s="2" t="s">
        <v>3</v>
      </c>
      <c r="B14" s="3" t="s">
        <v>35</v>
      </c>
      <c r="C14" s="2" t="s">
        <v>103</v>
      </c>
      <c r="D14" s="6" t="s">
        <v>132</v>
      </c>
      <c r="E14" s="12" t="s">
        <v>0</v>
      </c>
      <c r="F14" s="14" t="str">
        <f>VLOOKUP(D14,'Obs Conc_1'!$C$23:$Q$78,2,FALSE)</f>
        <v>OOR &lt;</v>
      </c>
      <c r="G14" s="15">
        <f>VLOOKUP(D14,'Obs Conc %CV_1'!$C$23:$Q$78,2,FALSE)</f>
        <v>0</v>
      </c>
      <c r="H14" s="14" t="str">
        <f>VLOOKUP(D14,'Obs Conc_1'!$C$23:$Q$78,3,FALSE)</f>
        <v>OOR &lt;</v>
      </c>
      <c r="I14" s="15">
        <f>VLOOKUP(D14,'Obs Conc %CV_1'!$C$23:$Q$78,3,FALSE)</f>
        <v>0</v>
      </c>
      <c r="J14" s="14" t="str">
        <f>VLOOKUP(D14,'Obs Conc_1'!$C$23:$Q$78,4,FALSE)</f>
        <v>OOR &lt;</v>
      </c>
      <c r="K14" s="15">
        <f>VLOOKUP(D14,'Obs Conc %CV_1'!$C$23:$Q$78,4,FALSE)</f>
        <v>0</v>
      </c>
      <c r="L14" s="14" t="str">
        <f>VLOOKUP(D14,'Obs Conc_1'!$C$23:$Q$78,5,FALSE)</f>
        <v>OOR &lt;</v>
      </c>
      <c r="M14" s="15">
        <f>VLOOKUP(D14,'Obs Conc %CV_1'!$C$23:$Q$78,5,FALSE)</f>
        <v>0</v>
      </c>
      <c r="N14" s="14" t="str">
        <f>VLOOKUP(D14,'Obs Conc_1'!$C$23:$Q$78,6,FALSE)</f>
        <v>*1.21</v>
      </c>
      <c r="O14" s="15">
        <f>VLOOKUP(D14,'Obs Conc %CV_1'!$C$23:$Q$78,6,FALSE)</f>
        <v>0</v>
      </c>
      <c r="P14" s="14">
        <f>VLOOKUP(D14,'Obs Conc_1'!$C$23:$Q$78,7,FALSE)</f>
        <v>290.74</v>
      </c>
      <c r="Q14" s="15">
        <f>VLOOKUP(D14,'Obs Conc %CV_1'!$C$23:$Q$78,7,FALSE)</f>
        <v>0</v>
      </c>
      <c r="R14" s="14">
        <f>VLOOKUP(D14,'Obs Conc_1'!$C$23:$Q$78,8,FALSE)</f>
        <v>114.27</v>
      </c>
      <c r="S14" s="15">
        <f>VLOOKUP(D14,'Obs Conc %CV_1'!$C$23:$Q$78,8,FALSE)</f>
        <v>0</v>
      </c>
      <c r="T14" s="14">
        <f>VLOOKUP(D14,'Obs Conc_1'!$C$23:$Q$78,9,FALSE)</f>
        <v>9.42</v>
      </c>
      <c r="U14" s="15">
        <f>VLOOKUP(D14,'Obs Conc %CV_1'!$C$23:$Q$78,9,FALSE)</f>
        <v>0</v>
      </c>
      <c r="V14" s="14">
        <f>VLOOKUP(D14,'Obs Conc_1'!$C$23:$Q$78,10,FALSE)</f>
        <v>2386.6</v>
      </c>
      <c r="W14" s="15">
        <f>VLOOKUP(D14,'Obs Conc %CV_1'!$C$23:$Q$78,10,FALSE)</f>
        <v>0</v>
      </c>
      <c r="X14" s="14" t="str">
        <f>VLOOKUP(D14,'Obs Conc_1'!$C$23:$Q$78,11,FALSE)</f>
        <v>OOR &lt;</v>
      </c>
      <c r="Y14" s="15">
        <f>VLOOKUP(D14,'Obs Conc %CV_1'!$C$23:$Q$78,11,FALSE)</f>
        <v>0</v>
      </c>
      <c r="Z14" s="14" t="str">
        <f>VLOOKUP(D14,'Obs Conc_1'!$C$23:$Q$78,12,FALSE)</f>
        <v>OOR &lt;</v>
      </c>
      <c r="AA14" s="15">
        <f>VLOOKUP(D14,'Obs Conc %CV_1'!$C$23:$Q$78,12,FALSE)</f>
        <v>0</v>
      </c>
      <c r="AB14" s="14" t="str">
        <f>VLOOKUP(D14,'Obs Conc_1'!$C$23:$Q$78,13,FALSE)</f>
        <v>OOR &lt;</v>
      </c>
      <c r="AC14" s="15">
        <f>VLOOKUP(D14,'Obs Conc %CV_1'!$C$23:$Q$78,13,FALSE)</f>
        <v>0</v>
      </c>
      <c r="AD14" s="14" t="str">
        <f>VLOOKUP(D14,'Obs Conc_1'!$C$23:$Q$78,14,FALSE)</f>
        <v>OOR &lt;</v>
      </c>
      <c r="AE14" s="15">
        <f>VLOOKUP(D14,'Obs Conc %CV_1'!$C$23:$Q$78,14,FALSE)</f>
        <v>0</v>
      </c>
      <c r="AF14" s="14" t="str">
        <f>VLOOKUP(D14,'Obs Conc_1'!$C$23:$Q$78,15,FALSE)</f>
        <v>OOR &lt;</v>
      </c>
      <c r="AG14" s="15">
        <f>VLOOKUP(D14,'Obs Conc %CV_1'!$C$23:$Q$78,15,FALSE)</f>
        <v>0</v>
      </c>
    </row>
    <row r="15" spans="1:33" x14ac:dyDescent="0.2">
      <c r="A15" s="2" t="s">
        <v>3</v>
      </c>
      <c r="B15" s="3" t="s">
        <v>35</v>
      </c>
      <c r="C15" s="2" t="s">
        <v>102</v>
      </c>
      <c r="D15" s="6" t="s">
        <v>133</v>
      </c>
      <c r="E15" s="12" t="s">
        <v>0</v>
      </c>
      <c r="F15" s="14" t="str">
        <f>VLOOKUP(D15,'Obs Conc_1'!$C$23:$Q$78,2,FALSE)</f>
        <v>OOR &lt;</v>
      </c>
      <c r="G15" s="15">
        <f>VLOOKUP(D15,'Obs Conc %CV_1'!$C$23:$Q$78,2,FALSE)</f>
        <v>0</v>
      </c>
      <c r="H15" s="14" t="str">
        <f>VLOOKUP(D15,'Obs Conc_1'!$C$23:$Q$78,3,FALSE)</f>
        <v>OOR &lt;</v>
      </c>
      <c r="I15" s="15">
        <f>VLOOKUP(D15,'Obs Conc %CV_1'!$C$23:$Q$78,3,FALSE)</f>
        <v>0</v>
      </c>
      <c r="J15" s="14" t="str">
        <f>VLOOKUP(D15,'Obs Conc_1'!$C$23:$Q$78,4,FALSE)</f>
        <v>OOR &lt;</v>
      </c>
      <c r="K15" s="15">
        <f>VLOOKUP(D15,'Obs Conc %CV_1'!$C$23:$Q$78,4,FALSE)</f>
        <v>0</v>
      </c>
      <c r="L15" s="14" t="str">
        <f>VLOOKUP(D15,'Obs Conc_1'!$C$23:$Q$78,5,FALSE)</f>
        <v>OOR &lt;</v>
      </c>
      <c r="M15" s="15">
        <f>VLOOKUP(D15,'Obs Conc %CV_1'!$C$23:$Q$78,5,FALSE)</f>
        <v>0</v>
      </c>
      <c r="N15" s="14">
        <f>VLOOKUP(D15,'Obs Conc_1'!$C$23:$Q$78,6,FALSE)</f>
        <v>12.19</v>
      </c>
      <c r="O15" s="15">
        <f>VLOOKUP(D15,'Obs Conc %CV_1'!$C$23:$Q$78,6,FALSE)</f>
        <v>0</v>
      </c>
      <c r="P15" s="14">
        <f>VLOOKUP(D15,'Obs Conc_1'!$C$23:$Q$78,7,FALSE)</f>
        <v>142.29</v>
      </c>
      <c r="Q15" s="15">
        <f>VLOOKUP(D15,'Obs Conc %CV_1'!$C$23:$Q$78,7,FALSE)</f>
        <v>0</v>
      </c>
      <c r="R15" s="14">
        <f>VLOOKUP(D15,'Obs Conc_1'!$C$23:$Q$78,8,FALSE)</f>
        <v>31.57</v>
      </c>
      <c r="S15" s="15">
        <f>VLOOKUP(D15,'Obs Conc %CV_1'!$C$23:$Q$78,8,FALSE)</f>
        <v>0</v>
      </c>
      <c r="T15" s="14">
        <f>VLOOKUP(D15,'Obs Conc_1'!$C$23:$Q$78,9,FALSE)</f>
        <v>5.0999999999999996</v>
      </c>
      <c r="U15" s="15">
        <f>VLOOKUP(D15,'Obs Conc %CV_1'!$C$23:$Q$78,9,FALSE)</f>
        <v>0</v>
      </c>
      <c r="V15" s="14">
        <f>VLOOKUP(D15,'Obs Conc_1'!$C$23:$Q$78,10,FALSE)</f>
        <v>1455.97</v>
      </c>
      <c r="W15" s="15">
        <f>VLOOKUP(D15,'Obs Conc %CV_1'!$C$23:$Q$78,10,FALSE)</f>
        <v>0</v>
      </c>
      <c r="X15" s="14" t="str">
        <f>VLOOKUP(D15,'Obs Conc_1'!$C$23:$Q$78,11,FALSE)</f>
        <v>OOR &lt;</v>
      </c>
      <c r="Y15" s="15">
        <f>VLOOKUP(D15,'Obs Conc %CV_1'!$C$23:$Q$78,11,FALSE)</f>
        <v>0</v>
      </c>
      <c r="Z15" s="14" t="str">
        <f>VLOOKUP(D15,'Obs Conc_1'!$C$23:$Q$78,12,FALSE)</f>
        <v>OOR &lt;</v>
      </c>
      <c r="AA15" s="15">
        <f>VLOOKUP(D15,'Obs Conc %CV_1'!$C$23:$Q$78,12,FALSE)</f>
        <v>0</v>
      </c>
      <c r="AB15" s="14" t="str">
        <f>VLOOKUP(D15,'Obs Conc_1'!$C$23:$Q$78,13,FALSE)</f>
        <v>OOR &lt;</v>
      </c>
      <c r="AC15" s="15">
        <f>VLOOKUP(D15,'Obs Conc %CV_1'!$C$23:$Q$78,13,FALSE)</f>
        <v>0</v>
      </c>
      <c r="AD15" s="14" t="str">
        <f>VLOOKUP(D15,'Obs Conc_1'!$C$23:$Q$78,14,FALSE)</f>
        <v>OOR &lt;</v>
      </c>
      <c r="AE15" s="15">
        <f>VLOOKUP(D15,'Obs Conc %CV_1'!$C$23:$Q$78,14,FALSE)</f>
        <v>0</v>
      </c>
      <c r="AF15" s="14" t="str">
        <f>VLOOKUP(D15,'Obs Conc_1'!$C$23:$Q$78,15,FALSE)</f>
        <v>OOR &lt;</v>
      </c>
      <c r="AG15" s="15">
        <f>VLOOKUP(D15,'Obs Conc %CV_1'!$C$23:$Q$78,15,FALSE)</f>
        <v>0</v>
      </c>
    </row>
    <row r="16" spans="1:33" x14ac:dyDescent="0.2">
      <c r="A16" s="2" t="s">
        <v>3</v>
      </c>
      <c r="B16" s="3" t="s">
        <v>35</v>
      </c>
      <c r="C16" s="2" t="s">
        <v>101</v>
      </c>
      <c r="D16" s="6" t="s">
        <v>134</v>
      </c>
      <c r="E16" s="12" t="s">
        <v>0</v>
      </c>
      <c r="F16" s="14" t="str">
        <f>VLOOKUP(D16,'Obs Conc_1'!$C$23:$Q$78,2,FALSE)</f>
        <v>OOR &lt;</v>
      </c>
      <c r="G16" s="15">
        <f>VLOOKUP(D16,'Obs Conc %CV_1'!$C$23:$Q$78,2,FALSE)</f>
        <v>0</v>
      </c>
      <c r="H16" s="14" t="str">
        <f>VLOOKUP(D16,'Obs Conc_1'!$C$23:$Q$78,3,FALSE)</f>
        <v>OOR &lt;</v>
      </c>
      <c r="I16" s="15">
        <f>VLOOKUP(D16,'Obs Conc %CV_1'!$C$23:$Q$78,3,FALSE)</f>
        <v>0</v>
      </c>
      <c r="J16" s="14" t="str">
        <f>VLOOKUP(D16,'Obs Conc_1'!$C$23:$Q$78,4,FALSE)</f>
        <v>OOR &lt;</v>
      </c>
      <c r="K16" s="15">
        <f>VLOOKUP(D16,'Obs Conc %CV_1'!$C$23:$Q$78,4,FALSE)</f>
        <v>0</v>
      </c>
      <c r="L16" s="14" t="str">
        <f>VLOOKUP(D16,'Obs Conc_1'!$C$23:$Q$78,5,FALSE)</f>
        <v>OOR &lt;</v>
      </c>
      <c r="M16" s="15">
        <f>VLOOKUP(D16,'Obs Conc %CV_1'!$C$23:$Q$78,5,FALSE)</f>
        <v>0</v>
      </c>
      <c r="N16" s="14" t="str">
        <f>VLOOKUP(D16,'Obs Conc_1'!$C$23:$Q$78,6,FALSE)</f>
        <v>*3.83</v>
      </c>
      <c r="O16" s="15">
        <f>VLOOKUP(D16,'Obs Conc %CV_1'!$C$23:$Q$78,6,FALSE)</f>
        <v>0</v>
      </c>
      <c r="P16" s="14">
        <f>VLOOKUP(D16,'Obs Conc_1'!$C$23:$Q$78,7,FALSE)</f>
        <v>227.73</v>
      </c>
      <c r="Q16" s="15">
        <f>VLOOKUP(D16,'Obs Conc %CV_1'!$C$23:$Q$78,7,FALSE)</f>
        <v>0</v>
      </c>
      <c r="R16" s="14">
        <f>VLOOKUP(D16,'Obs Conc_1'!$C$23:$Q$78,8,FALSE)</f>
        <v>36.68</v>
      </c>
      <c r="S16" s="15">
        <f>VLOOKUP(D16,'Obs Conc %CV_1'!$C$23:$Q$78,8,FALSE)</f>
        <v>0</v>
      </c>
      <c r="T16" s="14" t="str">
        <f>VLOOKUP(D16,'Obs Conc_1'!$C$23:$Q$78,9,FALSE)</f>
        <v>OOR &lt;</v>
      </c>
      <c r="U16" s="15">
        <f>VLOOKUP(D16,'Obs Conc %CV_1'!$C$23:$Q$78,9,FALSE)</f>
        <v>0</v>
      </c>
      <c r="V16" s="14">
        <f>VLOOKUP(D16,'Obs Conc_1'!$C$23:$Q$78,10,FALSE)</f>
        <v>633.6</v>
      </c>
      <c r="W16" s="15">
        <f>VLOOKUP(D16,'Obs Conc %CV_1'!$C$23:$Q$78,10,FALSE)</f>
        <v>0</v>
      </c>
      <c r="X16" s="14" t="str">
        <f>VLOOKUP(D16,'Obs Conc_1'!$C$23:$Q$78,11,FALSE)</f>
        <v>OOR &lt;</v>
      </c>
      <c r="Y16" s="15">
        <f>VLOOKUP(D16,'Obs Conc %CV_1'!$C$23:$Q$78,11,FALSE)</f>
        <v>0</v>
      </c>
      <c r="Z16" s="14" t="str">
        <f>VLOOKUP(D16,'Obs Conc_1'!$C$23:$Q$78,12,FALSE)</f>
        <v>OOR &lt;</v>
      </c>
      <c r="AA16" s="15">
        <f>VLOOKUP(D16,'Obs Conc %CV_1'!$C$23:$Q$78,12,FALSE)</f>
        <v>0</v>
      </c>
      <c r="AB16" s="14" t="str">
        <f>VLOOKUP(D16,'Obs Conc_1'!$C$23:$Q$78,13,FALSE)</f>
        <v>OOR &lt;</v>
      </c>
      <c r="AC16" s="15">
        <f>VLOOKUP(D16,'Obs Conc %CV_1'!$C$23:$Q$78,13,FALSE)</f>
        <v>0</v>
      </c>
      <c r="AD16" s="14" t="str">
        <f>VLOOKUP(D16,'Obs Conc_1'!$C$23:$Q$78,14,FALSE)</f>
        <v>OOR &lt;</v>
      </c>
      <c r="AE16" s="15">
        <f>VLOOKUP(D16,'Obs Conc %CV_1'!$C$23:$Q$78,14,FALSE)</f>
        <v>0</v>
      </c>
      <c r="AF16" s="14" t="str">
        <f>VLOOKUP(D16,'Obs Conc_1'!$C$23:$Q$78,15,FALSE)</f>
        <v>OOR &lt;</v>
      </c>
      <c r="AG16" s="15">
        <f>VLOOKUP(D16,'Obs Conc %CV_1'!$C$23:$Q$78,15,FALSE)</f>
        <v>0</v>
      </c>
    </row>
    <row r="17" spans="1:33" x14ac:dyDescent="0.2">
      <c r="A17" s="2" t="s">
        <v>3</v>
      </c>
      <c r="B17" s="3" t="s">
        <v>35</v>
      </c>
      <c r="C17" s="2" t="s">
        <v>100</v>
      </c>
      <c r="D17" s="6" t="s">
        <v>135</v>
      </c>
      <c r="E17" s="12" t="s">
        <v>0</v>
      </c>
      <c r="F17" s="14" t="str">
        <f>VLOOKUP(D17,'Obs Conc_1'!$C$23:$Q$78,2,FALSE)</f>
        <v>OOR &lt;</v>
      </c>
      <c r="G17" s="15">
        <f>VLOOKUP(D17,'Obs Conc %CV_1'!$C$23:$Q$78,2,FALSE)</f>
        <v>0</v>
      </c>
      <c r="H17" s="14" t="str">
        <f>VLOOKUP(D17,'Obs Conc_1'!$C$23:$Q$78,3,FALSE)</f>
        <v>OOR &lt;</v>
      </c>
      <c r="I17" s="15">
        <f>VLOOKUP(D17,'Obs Conc %CV_1'!$C$23:$Q$78,3,FALSE)</f>
        <v>0</v>
      </c>
      <c r="J17" s="14" t="str">
        <f>VLOOKUP(D17,'Obs Conc_1'!$C$23:$Q$78,4,FALSE)</f>
        <v>OOR &lt;</v>
      </c>
      <c r="K17" s="15">
        <f>VLOOKUP(D17,'Obs Conc %CV_1'!$C$23:$Q$78,4,FALSE)</f>
        <v>0</v>
      </c>
      <c r="L17" s="14" t="str">
        <f>VLOOKUP(D17,'Obs Conc_1'!$C$23:$Q$78,5,FALSE)</f>
        <v>OOR &lt;</v>
      </c>
      <c r="M17" s="15">
        <f>VLOOKUP(D17,'Obs Conc %CV_1'!$C$23:$Q$78,5,FALSE)</f>
        <v>0</v>
      </c>
      <c r="N17" s="14" t="str">
        <f>VLOOKUP(D17,'Obs Conc_1'!$C$23:$Q$78,6,FALSE)</f>
        <v>*1.21</v>
      </c>
      <c r="O17" s="15">
        <f>VLOOKUP(D17,'Obs Conc %CV_1'!$C$23:$Q$78,6,FALSE)</f>
        <v>0</v>
      </c>
      <c r="P17" s="14">
        <f>VLOOKUP(D17,'Obs Conc_1'!$C$23:$Q$78,7,FALSE)</f>
        <v>78.319999999999993</v>
      </c>
      <c r="Q17" s="15">
        <f>VLOOKUP(D17,'Obs Conc %CV_1'!$C$23:$Q$78,7,FALSE)</f>
        <v>0</v>
      </c>
      <c r="R17" s="14">
        <f>VLOOKUP(D17,'Obs Conc_1'!$C$23:$Q$78,8,FALSE)</f>
        <v>14.38</v>
      </c>
      <c r="S17" s="15">
        <f>VLOOKUP(D17,'Obs Conc %CV_1'!$C$23:$Q$78,8,FALSE)</f>
        <v>0</v>
      </c>
      <c r="T17" s="14" t="str">
        <f>VLOOKUP(D17,'Obs Conc_1'!$C$23:$Q$78,9,FALSE)</f>
        <v>OOR &lt;</v>
      </c>
      <c r="U17" s="15">
        <f>VLOOKUP(D17,'Obs Conc %CV_1'!$C$23:$Q$78,9,FALSE)</f>
        <v>0</v>
      </c>
      <c r="V17" s="14">
        <f>VLOOKUP(D17,'Obs Conc_1'!$C$23:$Q$78,10,FALSE)</f>
        <v>506.95</v>
      </c>
      <c r="W17" s="15">
        <f>VLOOKUP(D17,'Obs Conc %CV_1'!$C$23:$Q$78,10,FALSE)</f>
        <v>0</v>
      </c>
      <c r="X17" s="14" t="str">
        <f>VLOOKUP(D17,'Obs Conc_1'!$C$23:$Q$78,11,FALSE)</f>
        <v>OOR &lt;</v>
      </c>
      <c r="Y17" s="15">
        <f>VLOOKUP(D17,'Obs Conc %CV_1'!$C$23:$Q$78,11,FALSE)</f>
        <v>0</v>
      </c>
      <c r="Z17" s="14" t="str">
        <f>VLOOKUP(D17,'Obs Conc_1'!$C$23:$Q$78,12,FALSE)</f>
        <v>OOR &lt;</v>
      </c>
      <c r="AA17" s="15">
        <f>VLOOKUP(D17,'Obs Conc %CV_1'!$C$23:$Q$78,12,FALSE)</f>
        <v>0</v>
      </c>
      <c r="AB17" s="14" t="str">
        <f>VLOOKUP(D17,'Obs Conc_1'!$C$23:$Q$78,13,FALSE)</f>
        <v>OOR &lt;</v>
      </c>
      <c r="AC17" s="15">
        <f>VLOOKUP(D17,'Obs Conc %CV_1'!$C$23:$Q$78,13,FALSE)</f>
        <v>0</v>
      </c>
      <c r="AD17" s="14" t="str">
        <f>VLOOKUP(D17,'Obs Conc_1'!$C$23:$Q$78,14,FALSE)</f>
        <v>OOR &lt;</v>
      </c>
      <c r="AE17" s="15">
        <f>VLOOKUP(D17,'Obs Conc %CV_1'!$C$23:$Q$78,14,FALSE)</f>
        <v>0</v>
      </c>
      <c r="AF17" s="14" t="str">
        <f>VLOOKUP(D17,'Obs Conc_1'!$C$23:$Q$78,15,FALSE)</f>
        <v>OOR &lt;</v>
      </c>
      <c r="AG17" s="15">
        <f>VLOOKUP(D17,'Obs Conc %CV_1'!$C$23:$Q$78,15,FALSE)</f>
        <v>0</v>
      </c>
    </row>
    <row r="18" spans="1:33" x14ac:dyDescent="0.2">
      <c r="A18" s="2" t="s">
        <v>3</v>
      </c>
      <c r="B18" s="3" t="s">
        <v>35</v>
      </c>
      <c r="C18" s="2" t="s">
        <v>99</v>
      </c>
      <c r="D18" s="6" t="s">
        <v>136</v>
      </c>
      <c r="E18" s="12" t="s">
        <v>0</v>
      </c>
      <c r="F18" s="14" t="str">
        <f>VLOOKUP(D18,'Obs Conc_1'!$C$23:$Q$78,2,FALSE)</f>
        <v>OOR &lt;</v>
      </c>
      <c r="G18" s="15">
        <f>VLOOKUP(D18,'Obs Conc %CV_1'!$C$23:$Q$78,2,FALSE)</f>
        <v>0</v>
      </c>
      <c r="H18" s="14" t="str">
        <f>VLOOKUP(D18,'Obs Conc_1'!$C$23:$Q$78,3,FALSE)</f>
        <v>OOR &lt;</v>
      </c>
      <c r="I18" s="15">
        <f>VLOOKUP(D18,'Obs Conc %CV_1'!$C$23:$Q$78,3,FALSE)</f>
        <v>0</v>
      </c>
      <c r="J18" s="14" t="str">
        <f>VLOOKUP(D18,'Obs Conc_1'!$C$23:$Q$78,4,FALSE)</f>
        <v>OOR &lt;</v>
      </c>
      <c r="K18" s="15">
        <f>VLOOKUP(D18,'Obs Conc %CV_1'!$C$23:$Q$78,4,FALSE)</f>
        <v>0</v>
      </c>
      <c r="L18" s="14" t="str">
        <f>VLOOKUP(D18,'Obs Conc_1'!$C$23:$Q$78,5,FALSE)</f>
        <v>OOR &lt;</v>
      </c>
      <c r="M18" s="15">
        <f>VLOOKUP(D18,'Obs Conc %CV_1'!$C$23:$Q$78,5,FALSE)</f>
        <v>0</v>
      </c>
      <c r="N18" s="14" t="str">
        <f>VLOOKUP(D18,'Obs Conc_1'!$C$23:$Q$78,6,FALSE)</f>
        <v>OOR &lt;</v>
      </c>
      <c r="O18" s="15">
        <f>VLOOKUP(D18,'Obs Conc %CV_1'!$C$23:$Q$78,6,FALSE)</f>
        <v>0</v>
      </c>
      <c r="P18" s="14">
        <f>VLOOKUP(D18,'Obs Conc_1'!$C$23:$Q$78,7,FALSE)</f>
        <v>18.72</v>
      </c>
      <c r="Q18" s="15">
        <f>VLOOKUP(D18,'Obs Conc %CV_1'!$C$23:$Q$78,7,FALSE)</f>
        <v>0</v>
      </c>
      <c r="R18" s="14">
        <f>VLOOKUP(D18,'Obs Conc_1'!$C$23:$Q$78,8,FALSE)</f>
        <v>5.26</v>
      </c>
      <c r="S18" s="15">
        <f>VLOOKUP(D18,'Obs Conc %CV_1'!$C$23:$Q$78,8,FALSE)</f>
        <v>0</v>
      </c>
      <c r="T18" s="14" t="str">
        <f>VLOOKUP(D18,'Obs Conc_1'!$C$23:$Q$78,9,FALSE)</f>
        <v>OOR &lt;</v>
      </c>
      <c r="U18" s="15">
        <f>VLOOKUP(D18,'Obs Conc %CV_1'!$C$23:$Q$78,9,FALSE)</f>
        <v>0</v>
      </c>
      <c r="V18" s="14">
        <f>VLOOKUP(D18,'Obs Conc_1'!$C$23:$Q$78,10,FALSE)</f>
        <v>398.8</v>
      </c>
      <c r="W18" s="15">
        <f>VLOOKUP(D18,'Obs Conc %CV_1'!$C$23:$Q$78,10,FALSE)</f>
        <v>0</v>
      </c>
      <c r="X18" s="14" t="str">
        <f>VLOOKUP(D18,'Obs Conc_1'!$C$23:$Q$78,11,FALSE)</f>
        <v>OOR &lt;</v>
      </c>
      <c r="Y18" s="15">
        <f>VLOOKUP(D18,'Obs Conc %CV_1'!$C$23:$Q$78,11,FALSE)</f>
        <v>0</v>
      </c>
      <c r="Z18" s="14" t="str">
        <f>VLOOKUP(D18,'Obs Conc_1'!$C$23:$Q$78,12,FALSE)</f>
        <v>OOR &lt;</v>
      </c>
      <c r="AA18" s="15">
        <f>VLOOKUP(D18,'Obs Conc %CV_1'!$C$23:$Q$78,12,FALSE)</f>
        <v>0</v>
      </c>
      <c r="AB18" s="14" t="str">
        <f>VLOOKUP(D18,'Obs Conc_1'!$C$23:$Q$78,13,FALSE)</f>
        <v>OOR &lt;</v>
      </c>
      <c r="AC18" s="15">
        <f>VLOOKUP(D18,'Obs Conc %CV_1'!$C$23:$Q$78,13,FALSE)</f>
        <v>0</v>
      </c>
      <c r="AD18" s="14" t="str">
        <f>VLOOKUP(D18,'Obs Conc_1'!$C$23:$Q$78,14,FALSE)</f>
        <v>OOR &lt;</v>
      </c>
      <c r="AE18" s="15">
        <f>VLOOKUP(D18,'Obs Conc %CV_1'!$C$23:$Q$78,14,FALSE)</f>
        <v>0</v>
      </c>
      <c r="AF18" s="14" t="str">
        <f>VLOOKUP(D18,'Obs Conc_1'!$C$23:$Q$78,15,FALSE)</f>
        <v>OOR &lt;</v>
      </c>
      <c r="AG18" s="15">
        <f>VLOOKUP(D18,'Obs Conc %CV_1'!$C$23:$Q$78,15,FALSE)</f>
        <v>0</v>
      </c>
    </row>
    <row r="19" spans="1:33" x14ac:dyDescent="0.2">
      <c r="A19" s="2" t="s">
        <v>3</v>
      </c>
      <c r="B19" s="3" t="s">
        <v>35</v>
      </c>
      <c r="C19" s="2" t="s">
        <v>98</v>
      </c>
      <c r="D19" s="6" t="s">
        <v>137</v>
      </c>
      <c r="E19" s="12" t="s">
        <v>0</v>
      </c>
      <c r="F19" s="14" t="str">
        <f>VLOOKUP(D19,'Obs Conc_1'!$C$23:$Q$78,2,FALSE)</f>
        <v>OOR &lt;</v>
      </c>
      <c r="G19" s="15">
        <f>VLOOKUP(D19,'Obs Conc %CV_1'!$C$23:$Q$78,2,FALSE)</f>
        <v>0</v>
      </c>
      <c r="H19" s="14" t="str">
        <f>VLOOKUP(D19,'Obs Conc_1'!$C$23:$Q$78,3,FALSE)</f>
        <v>OOR &lt;</v>
      </c>
      <c r="I19" s="15">
        <f>VLOOKUP(D19,'Obs Conc %CV_1'!$C$23:$Q$78,3,FALSE)</f>
        <v>0</v>
      </c>
      <c r="J19" s="14" t="str">
        <f>VLOOKUP(D19,'Obs Conc_1'!$C$23:$Q$78,4,FALSE)</f>
        <v>OOR &lt;</v>
      </c>
      <c r="K19" s="15">
        <f>VLOOKUP(D19,'Obs Conc %CV_1'!$C$23:$Q$78,4,FALSE)</f>
        <v>0</v>
      </c>
      <c r="L19" s="14" t="str">
        <f>VLOOKUP(D19,'Obs Conc_1'!$C$23:$Q$78,5,FALSE)</f>
        <v>OOR &lt;</v>
      </c>
      <c r="M19" s="15">
        <f>VLOOKUP(D19,'Obs Conc %CV_1'!$C$23:$Q$78,5,FALSE)</f>
        <v>0</v>
      </c>
      <c r="N19" s="14">
        <f>VLOOKUP(D19,'Obs Conc_1'!$C$23:$Q$78,6,FALSE)</f>
        <v>15.07</v>
      </c>
      <c r="O19" s="15">
        <f>VLOOKUP(D19,'Obs Conc %CV_1'!$C$23:$Q$78,6,FALSE)</f>
        <v>0</v>
      </c>
      <c r="P19" s="14">
        <f>VLOOKUP(D19,'Obs Conc_1'!$C$23:$Q$78,7,FALSE)</f>
        <v>2035.06</v>
      </c>
      <c r="Q19" s="15">
        <f>VLOOKUP(D19,'Obs Conc %CV_1'!$C$23:$Q$78,7,FALSE)</f>
        <v>0</v>
      </c>
      <c r="R19" s="14">
        <f>VLOOKUP(D19,'Obs Conc_1'!$C$23:$Q$78,8,FALSE)</f>
        <v>179.94</v>
      </c>
      <c r="S19" s="15">
        <f>VLOOKUP(D19,'Obs Conc %CV_1'!$C$23:$Q$78,8,FALSE)</f>
        <v>0</v>
      </c>
      <c r="T19" s="14">
        <f>VLOOKUP(D19,'Obs Conc_1'!$C$23:$Q$78,9,FALSE)</f>
        <v>212.38</v>
      </c>
      <c r="U19" s="15">
        <f>VLOOKUP(D19,'Obs Conc %CV_1'!$C$23:$Q$78,9,FALSE)</f>
        <v>0</v>
      </c>
      <c r="V19" s="14">
        <f>VLOOKUP(D19,'Obs Conc_1'!$C$23:$Q$78,10,FALSE)</f>
        <v>711.38</v>
      </c>
      <c r="W19" s="15">
        <f>VLOOKUP(D19,'Obs Conc %CV_1'!$C$23:$Q$78,10,FALSE)</f>
        <v>0</v>
      </c>
      <c r="X19" s="14" t="str">
        <f>VLOOKUP(D19,'Obs Conc_1'!$C$23:$Q$78,11,FALSE)</f>
        <v>OOR &lt;</v>
      </c>
      <c r="Y19" s="15">
        <f>VLOOKUP(D19,'Obs Conc %CV_1'!$C$23:$Q$78,11,FALSE)</f>
        <v>0</v>
      </c>
      <c r="Z19" s="14" t="str">
        <f>VLOOKUP(D19,'Obs Conc_1'!$C$23:$Q$78,12,FALSE)</f>
        <v>OOR &lt;</v>
      </c>
      <c r="AA19" s="15">
        <f>VLOOKUP(D19,'Obs Conc %CV_1'!$C$23:$Q$78,12,FALSE)</f>
        <v>0</v>
      </c>
      <c r="AB19" s="14" t="str">
        <f>VLOOKUP(D19,'Obs Conc_1'!$C$23:$Q$78,13,FALSE)</f>
        <v>OOR &lt;</v>
      </c>
      <c r="AC19" s="15">
        <f>VLOOKUP(D19,'Obs Conc %CV_1'!$C$23:$Q$78,13,FALSE)</f>
        <v>0</v>
      </c>
      <c r="AD19" s="14">
        <f>VLOOKUP(D19,'Obs Conc_1'!$C$23:$Q$78,14,FALSE)</f>
        <v>2.1800000000000002</v>
      </c>
      <c r="AE19" s="15">
        <f>VLOOKUP(D19,'Obs Conc %CV_1'!$C$23:$Q$78,14,FALSE)</f>
        <v>0</v>
      </c>
      <c r="AF19" s="14" t="str">
        <f>VLOOKUP(D19,'Obs Conc_1'!$C$23:$Q$78,15,FALSE)</f>
        <v>OOR &lt;</v>
      </c>
      <c r="AG19" s="15">
        <f>VLOOKUP(D19,'Obs Conc %CV_1'!$C$23:$Q$78,15,FALSE)</f>
        <v>0</v>
      </c>
    </row>
    <row r="20" spans="1:33" x14ac:dyDescent="0.2">
      <c r="A20" s="2" t="s">
        <v>3</v>
      </c>
      <c r="B20" s="3" t="s">
        <v>35</v>
      </c>
      <c r="C20" s="2" t="s">
        <v>97</v>
      </c>
      <c r="D20" s="6" t="s">
        <v>138</v>
      </c>
      <c r="E20" s="12" t="s">
        <v>0</v>
      </c>
      <c r="F20" s="14" t="str">
        <f>VLOOKUP(D20,'Obs Conc_1'!$C$23:$Q$78,2,FALSE)</f>
        <v>OOR &lt;</v>
      </c>
      <c r="G20" s="15">
        <f>VLOOKUP(D20,'Obs Conc %CV_1'!$C$23:$Q$78,2,FALSE)</f>
        <v>0</v>
      </c>
      <c r="H20" s="14" t="str">
        <f>VLOOKUP(D20,'Obs Conc_1'!$C$23:$Q$78,3,FALSE)</f>
        <v>OOR &lt;</v>
      </c>
      <c r="I20" s="15">
        <f>VLOOKUP(D20,'Obs Conc %CV_1'!$C$23:$Q$78,3,FALSE)</f>
        <v>0</v>
      </c>
      <c r="J20" s="14" t="str">
        <f>VLOOKUP(D20,'Obs Conc_1'!$C$23:$Q$78,4,FALSE)</f>
        <v>OOR &lt;</v>
      </c>
      <c r="K20" s="15">
        <f>VLOOKUP(D20,'Obs Conc %CV_1'!$C$23:$Q$78,4,FALSE)</f>
        <v>0</v>
      </c>
      <c r="L20" s="14" t="str">
        <f>VLOOKUP(D20,'Obs Conc_1'!$C$23:$Q$78,5,FALSE)</f>
        <v>OOR &lt;</v>
      </c>
      <c r="M20" s="15">
        <f>VLOOKUP(D20,'Obs Conc %CV_1'!$C$23:$Q$78,5,FALSE)</f>
        <v>0</v>
      </c>
      <c r="N20" s="14" t="str">
        <f>VLOOKUP(D20,'Obs Conc_1'!$C$23:$Q$78,6,FALSE)</f>
        <v>OOR &lt;</v>
      </c>
      <c r="O20" s="15">
        <f>VLOOKUP(D20,'Obs Conc %CV_1'!$C$23:$Q$78,6,FALSE)</f>
        <v>0</v>
      </c>
      <c r="P20" s="14">
        <f>VLOOKUP(D20,'Obs Conc_1'!$C$23:$Q$78,7,FALSE)</f>
        <v>72.05</v>
      </c>
      <c r="Q20" s="15">
        <f>VLOOKUP(D20,'Obs Conc %CV_1'!$C$23:$Q$78,7,FALSE)</f>
        <v>0</v>
      </c>
      <c r="R20" s="14">
        <f>VLOOKUP(D20,'Obs Conc_1'!$C$23:$Q$78,8,FALSE)</f>
        <v>217.63</v>
      </c>
      <c r="S20" s="15">
        <f>VLOOKUP(D20,'Obs Conc %CV_1'!$C$23:$Q$78,8,FALSE)</f>
        <v>0</v>
      </c>
      <c r="T20" s="14">
        <f>VLOOKUP(D20,'Obs Conc_1'!$C$23:$Q$78,9,FALSE)</f>
        <v>3.14</v>
      </c>
      <c r="U20" s="15">
        <f>VLOOKUP(D20,'Obs Conc %CV_1'!$C$23:$Q$78,9,FALSE)</f>
        <v>0</v>
      </c>
      <c r="V20" s="14">
        <f>VLOOKUP(D20,'Obs Conc_1'!$C$23:$Q$78,10,FALSE)</f>
        <v>2242.2600000000002</v>
      </c>
      <c r="W20" s="15">
        <f>VLOOKUP(D20,'Obs Conc %CV_1'!$C$23:$Q$78,10,FALSE)</f>
        <v>0</v>
      </c>
      <c r="X20" s="14" t="str">
        <f>VLOOKUP(D20,'Obs Conc_1'!$C$23:$Q$78,11,FALSE)</f>
        <v>OOR &lt;</v>
      </c>
      <c r="Y20" s="15">
        <f>VLOOKUP(D20,'Obs Conc %CV_1'!$C$23:$Q$78,11,FALSE)</f>
        <v>0</v>
      </c>
      <c r="Z20" s="14" t="str">
        <f>VLOOKUP(D20,'Obs Conc_1'!$C$23:$Q$78,12,FALSE)</f>
        <v>OOR &lt;</v>
      </c>
      <c r="AA20" s="15">
        <f>VLOOKUP(D20,'Obs Conc %CV_1'!$C$23:$Q$78,12,FALSE)</f>
        <v>0</v>
      </c>
      <c r="AB20" s="14" t="str">
        <f>VLOOKUP(D20,'Obs Conc_1'!$C$23:$Q$78,13,FALSE)</f>
        <v>OOR &lt;</v>
      </c>
      <c r="AC20" s="15">
        <f>VLOOKUP(D20,'Obs Conc %CV_1'!$C$23:$Q$78,13,FALSE)</f>
        <v>0</v>
      </c>
      <c r="AD20" s="14" t="str">
        <f>VLOOKUP(D20,'Obs Conc_1'!$C$23:$Q$78,14,FALSE)</f>
        <v>OOR &lt;</v>
      </c>
      <c r="AE20" s="15">
        <f>VLOOKUP(D20,'Obs Conc %CV_1'!$C$23:$Q$78,14,FALSE)</f>
        <v>0</v>
      </c>
      <c r="AF20" s="14" t="str">
        <f>VLOOKUP(D20,'Obs Conc_1'!$C$23:$Q$78,15,FALSE)</f>
        <v>OOR &lt;</v>
      </c>
      <c r="AG20" s="15">
        <f>VLOOKUP(D20,'Obs Conc %CV_1'!$C$23:$Q$78,15,FALSE)</f>
        <v>0</v>
      </c>
    </row>
    <row r="21" spans="1:33" x14ac:dyDescent="0.2">
      <c r="A21" s="2" t="s">
        <v>3</v>
      </c>
      <c r="B21" s="3" t="s">
        <v>35</v>
      </c>
      <c r="C21" s="2" t="s">
        <v>96</v>
      </c>
      <c r="D21" s="6" t="s">
        <v>139</v>
      </c>
      <c r="E21" s="12" t="s">
        <v>0</v>
      </c>
      <c r="F21" s="14" t="str">
        <f>VLOOKUP(D21,'Obs Conc_1'!$C$23:$Q$78,2,FALSE)</f>
        <v>OOR &lt;</v>
      </c>
      <c r="G21" s="15">
        <f>VLOOKUP(D21,'Obs Conc %CV_1'!$C$23:$Q$78,2,FALSE)</f>
        <v>0</v>
      </c>
      <c r="H21" s="14" t="str">
        <f>VLOOKUP(D21,'Obs Conc_1'!$C$23:$Q$78,3,FALSE)</f>
        <v>OOR &lt;</v>
      </c>
      <c r="I21" s="15">
        <f>VLOOKUP(D21,'Obs Conc %CV_1'!$C$23:$Q$78,3,FALSE)</f>
        <v>0</v>
      </c>
      <c r="J21" s="14" t="str">
        <f>VLOOKUP(D21,'Obs Conc_1'!$C$23:$Q$78,4,FALSE)</f>
        <v>OOR &lt;</v>
      </c>
      <c r="K21" s="15">
        <f>VLOOKUP(D21,'Obs Conc %CV_1'!$C$23:$Q$78,4,FALSE)</f>
        <v>0</v>
      </c>
      <c r="L21" s="14" t="str">
        <f>VLOOKUP(D21,'Obs Conc_1'!$C$23:$Q$78,5,FALSE)</f>
        <v>OOR &lt;</v>
      </c>
      <c r="M21" s="15">
        <f>VLOOKUP(D21,'Obs Conc %CV_1'!$C$23:$Q$78,5,FALSE)</f>
        <v>0</v>
      </c>
      <c r="N21" s="14" t="str">
        <f>VLOOKUP(D21,'Obs Conc_1'!$C$23:$Q$78,6,FALSE)</f>
        <v>*1.21</v>
      </c>
      <c r="O21" s="15">
        <f>VLOOKUP(D21,'Obs Conc %CV_1'!$C$23:$Q$78,6,FALSE)</f>
        <v>0</v>
      </c>
      <c r="P21" s="14">
        <f>VLOOKUP(D21,'Obs Conc_1'!$C$23:$Q$78,7,FALSE)</f>
        <v>61.21</v>
      </c>
      <c r="Q21" s="15">
        <f>VLOOKUP(D21,'Obs Conc %CV_1'!$C$23:$Q$78,7,FALSE)</f>
        <v>0</v>
      </c>
      <c r="R21" s="14">
        <f>VLOOKUP(D21,'Obs Conc_1'!$C$23:$Q$78,8,FALSE)</f>
        <v>193.3</v>
      </c>
      <c r="S21" s="15">
        <f>VLOOKUP(D21,'Obs Conc %CV_1'!$C$23:$Q$78,8,FALSE)</f>
        <v>0</v>
      </c>
      <c r="T21" s="14">
        <f>VLOOKUP(D21,'Obs Conc_1'!$C$23:$Q$78,9,FALSE)</f>
        <v>4.6100000000000003</v>
      </c>
      <c r="U21" s="15">
        <f>VLOOKUP(D21,'Obs Conc %CV_1'!$C$23:$Q$78,9,FALSE)</f>
        <v>0</v>
      </c>
      <c r="V21" s="14">
        <f>VLOOKUP(D21,'Obs Conc_1'!$C$23:$Q$78,10,FALSE)</f>
        <v>737.83</v>
      </c>
      <c r="W21" s="15">
        <f>VLOOKUP(D21,'Obs Conc %CV_1'!$C$23:$Q$78,10,FALSE)</f>
        <v>0</v>
      </c>
      <c r="X21" s="14" t="str">
        <f>VLOOKUP(D21,'Obs Conc_1'!$C$23:$Q$78,11,FALSE)</f>
        <v>OOR &lt;</v>
      </c>
      <c r="Y21" s="15">
        <f>VLOOKUP(D21,'Obs Conc %CV_1'!$C$23:$Q$78,11,FALSE)</f>
        <v>0</v>
      </c>
      <c r="Z21" s="14" t="str">
        <f>VLOOKUP(D21,'Obs Conc_1'!$C$23:$Q$78,12,FALSE)</f>
        <v>OOR &lt;</v>
      </c>
      <c r="AA21" s="15">
        <f>VLOOKUP(D21,'Obs Conc %CV_1'!$C$23:$Q$78,12,FALSE)</f>
        <v>0</v>
      </c>
      <c r="AB21" s="14" t="str">
        <f>VLOOKUP(D21,'Obs Conc_1'!$C$23:$Q$78,13,FALSE)</f>
        <v>OOR &lt;</v>
      </c>
      <c r="AC21" s="15">
        <f>VLOOKUP(D21,'Obs Conc %CV_1'!$C$23:$Q$78,13,FALSE)</f>
        <v>0</v>
      </c>
      <c r="AD21" s="14" t="str">
        <f>VLOOKUP(D21,'Obs Conc_1'!$C$23:$Q$78,14,FALSE)</f>
        <v>OOR &lt;</v>
      </c>
      <c r="AE21" s="15">
        <f>VLOOKUP(D21,'Obs Conc %CV_1'!$C$23:$Q$78,14,FALSE)</f>
        <v>0</v>
      </c>
      <c r="AF21" s="14" t="str">
        <f>VLOOKUP(D21,'Obs Conc_1'!$C$23:$Q$78,15,FALSE)</f>
        <v>OOR &lt;</v>
      </c>
      <c r="AG21" s="15">
        <f>VLOOKUP(D21,'Obs Conc %CV_1'!$C$23:$Q$78,15,FALSE)</f>
        <v>0</v>
      </c>
    </row>
    <row r="22" spans="1:33" x14ac:dyDescent="0.2">
      <c r="A22" s="2" t="s">
        <v>3</v>
      </c>
      <c r="B22" s="3" t="s">
        <v>35</v>
      </c>
      <c r="C22" s="2" t="s">
        <v>95</v>
      </c>
      <c r="D22" s="6" t="s">
        <v>140</v>
      </c>
      <c r="E22" s="12" t="s">
        <v>0</v>
      </c>
      <c r="F22" s="14" t="str">
        <f>VLOOKUP(D22,'Obs Conc_1'!$C$23:$Q$78,2,FALSE)</f>
        <v>OOR &lt;</v>
      </c>
      <c r="G22" s="15">
        <f>VLOOKUP(D22,'Obs Conc %CV_1'!$C$23:$Q$78,2,FALSE)</f>
        <v>0</v>
      </c>
      <c r="H22" s="14" t="str">
        <f>VLOOKUP(D22,'Obs Conc_1'!$C$23:$Q$78,3,FALSE)</f>
        <v>OOR &lt;</v>
      </c>
      <c r="I22" s="15">
        <f>VLOOKUP(D22,'Obs Conc %CV_1'!$C$23:$Q$78,3,FALSE)</f>
        <v>0</v>
      </c>
      <c r="J22" s="14" t="str">
        <f>VLOOKUP(D22,'Obs Conc_1'!$C$23:$Q$78,4,FALSE)</f>
        <v>OOR &lt;</v>
      </c>
      <c r="K22" s="15">
        <f>VLOOKUP(D22,'Obs Conc %CV_1'!$C$23:$Q$78,4,FALSE)</f>
        <v>0</v>
      </c>
      <c r="L22" s="14" t="str">
        <f>VLOOKUP(D22,'Obs Conc_1'!$C$23:$Q$78,5,FALSE)</f>
        <v>OOR &lt;</v>
      </c>
      <c r="M22" s="15">
        <f>VLOOKUP(D22,'Obs Conc %CV_1'!$C$23:$Q$78,5,FALSE)</f>
        <v>0</v>
      </c>
      <c r="N22" s="14" t="str">
        <f>VLOOKUP(D22,'Obs Conc_1'!$C$23:$Q$78,6,FALSE)</f>
        <v>OOR &lt;</v>
      </c>
      <c r="O22" s="15">
        <f>VLOOKUP(D22,'Obs Conc %CV_1'!$C$23:$Q$78,6,FALSE)</f>
        <v>0</v>
      </c>
      <c r="P22" s="14">
        <f>VLOOKUP(D22,'Obs Conc_1'!$C$23:$Q$78,7,FALSE)</f>
        <v>14.9</v>
      </c>
      <c r="Q22" s="15">
        <f>VLOOKUP(D22,'Obs Conc %CV_1'!$C$23:$Q$78,7,FALSE)</f>
        <v>0</v>
      </c>
      <c r="R22" s="14" t="str">
        <f>VLOOKUP(D22,'Obs Conc_1'!$C$23:$Q$78,8,FALSE)</f>
        <v>*0.66</v>
      </c>
      <c r="S22" s="15">
        <f>VLOOKUP(D22,'Obs Conc %CV_1'!$C$23:$Q$78,8,FALSE)</f>
        <v>0</v>
      </c>
      <c r="T22" s="14" t="str">
        <f>VLOOKUP(D22,'Obs Conc_1'!$C$23:$Q$78,9,FALSE)</f>
        <v>OOR &lt;</v>
      </c>
      <c r="U22" s="15">
        <f>VLOOKUP(D22,'Obs Conc %CV_1'!$C$23:$Q$78,9,FALSE)</f>
        <v>0</v>
      </c>
      <c r="V22" s="14">
        <f>VLOOKUP(D22,'Obs Conc_1'!$C$23:$Q$78,10,FALSE)</f>
        <v>264.67</v>
      </c>
      <c r="W22" s="15">
        <f>VLOOKUP(D22,'Obs Conc %CV_1'!$C$23:$Q$78,10,FALSE)</f>
        <v>0</v>
      </c>
      <c r="X22" s="14" t="str">
        <f>VLOOKUP(D22,'Obs Conc_1'!$C$23:$Q$78,11,FALSE)</f>
        <v>OOR &lt;</v>
      </c>
      <c r="Y22" s="15">
        <f>VLOOKUP(D22,'Obs Conc %CV_1'!$C$23:$Q$78,11,FALSE)</f>
        <v>0</v>
      </c>
      <c r="Z22" s="14" t="str">
        <f>VLOOKUP(D22,'Obs Conc_1'!$C$23:$Q$78,12,FALSE)</f>
        <v>OOR &lt;</v>
      </c>
      <c r="AA22" s="15">
        <f>VLOOKUP(D22,'Obs Conc %CV_1'!$C$23:$Q$78,12,FALSE)</f>
        <v>0</v>
      </c>
      <c r="AB22" s="14" t="str">
        <f>VLOOKUP(D22,'Obs Conc_1'!$C$23:$Q$78,13,FALSE)</f>
        <v>OOR &lt;</v>
      </c>
      <c r="AC22" s="15">
        <f>VLOOKUP(D22,'Obs Conc %CV_1'!$C$23:$Q$78,13,FALSE)</f>
        <v>0</v>
      </c>
      <c r="AD22" s="14" t="str">
        <f>VLOOKUP(D22,'Obs Conc_1'!$C$23:$Q$78,14,FALSE)</f>
        <v>OOR &lt;</v>
      </c>
      <c r="AE22" s="15">
        <f>VLOOKUP(D22,'Obs Conc %CV_1'!$C$23:$Q$78,14,FALSE)</f>
        <v>0</v>
      </c>
      <c r="AF22" s="14" t="str">
        <f>VLOOKUP(D22,'Obs Conc_1'!$C$23:$Q$78,15,FALSE)</f>
        <v>OOR &lt;</v>
      </c>
      <c r="AG22" s="15">
        <f>VLOOKUP(D22,'Obs Conc %CV_1'!$C$23:$Q$78,15,FALSE)</f>
        <v>0</v>
      </c>
    </row>
    <row r="23" spans="1:33" x14ac:dyDescent="0.2">
      <c r="A23" s="2" t="s">
        <v>3</v>
      </c>
      <c r="B23" s="3" t="s">
        <v>35</v>
      </c>
      <c r="C23" s="2" t="s">
        <v>94</v>
      </c>
      <c r="D23" s="6" t="s">
        <v>141</v>
      </c>
      <c r="E23" s="12" t="s">
        <v>0</v>
      </c>
      <c r="F23" s="14" t="str">
        <f>VLOOKUP(D23,'Obs Conc_1'!$C$23:$Q$78,2,FALSE)</f>
        <v>OOR &lt;</v>
      </c>
      <c r="G23" s="15">
        <f>VLOOKUP(D23,'Obs Conc %CV_1'!$C$23:$Q$78,2,FALSE)</f>
        <v>0</v>
      </c>
      <c r="H23" s="14" t="str">
        <f>VLOOKUP(D23,'Obs Conc_1'!$C$23:$Q$78,3,FALSE)</f>
        <v>OOR &lt;</v>
      </c>
      <c r="I23" s="15">
        <f>VLOOKUP(D23,'Obs Conc %CV_1'!$C$23:$Q$78,3,FALSE)</f>
        <v>0</v>
      </c>
      <c r="J23" s="14" t="str">
        <f>VLOOKUP(D23,'Obs Conc_1'!$C$23:$Q$78,4,FALSE)</f>
        <v>OOR &lt;</v>
      </c>
      <c r="K23" s="15">
        <f>VLOOKUP(D23,'Obs Conc %CV_1'!$C$23:$Q$78,4,FALSE)</f>
        <v>0</v>
      </c>
      <c r="L23" s="14" t="str">
        <f>VLOOKUP(D23,'Obs Conc_1'!$C$23:$Q$78,5,FALSE)</f>
        <v>OOR &lt;</v>
      </c>
      <c r="M23" s="15">
        <f>VLOOKUP(D23,'Obs Conc %CV_1'!$C$23:$Q$78,5,FALSE)</f>
        <v>0</v>
      </c>
      <c r="N23" s="14" t="str">
        <f>VLOOKUP(D23,'Obs Conc_1'!$C$23:$Q$78,6,FALSE)</f>
        <v>OOR &lt;</v>
      </c>
      <c r="O23" s="15">
        <f>VLOOKUP(D23,'Obs Conc %CV_1'!$C$23:$Q$78,6,FALSE)</f>
        <v>0</v>
      </c>
      <c r="P23" s="14">
        <f>VLOOKUP(D23,'Obs Conc_1'!$C$23:$Q$78,7,FALSE)</f>
        <v>17.2</v>
      </c>
      <c r="Q23" s="15">
        <f>VLOOKUP(D23,'Obs Conc %CV_1'!$C$23:$Q$78,7,FALSE)</f>
        <v>0</v>
      </c>
      <c r="R23" s="14">
        <f>VLOOKUP(D23,'Obs Conc_1'!$C$23:$Q$78,8,FALSE)</f>
        <v>2.68</v>
      </c>
      <c r="S23" s="15">
        <f>VLOOKUP(D23,'Obs Conc %CV_1'!$C$23:$Q$78,8,FALSE)</f>
        <v>0</v>
      </c>
      <c r="T23" s="14" t="str">
        <f>VLOOKUP(D23,'Obs Conc_1'!$C$23:$Q$78,9,FALSE)</f>
        <v>OOR &lt;</v>
      </c>
      <c r="U23" s="15">
        <f>VLOOKUP(D23,'Obs Conc %CV_1'!$C$23:$Q$78,9,FALSE)</f>
        <v>0</v>
      </c>
      <c r="V23" s="14">
        <f>VLOOKUP(D23,'Obs Conc_1'!$C$23:$Q$78,10,FALSE)</f>
        <v>289.26</v>
      </c>
      <c r="W23" s="15">
        <f>VLOOKUP(D23,'Obs Conc %CV_1'!$C$23:$Q$78,10,FALSE)</f>
        <v>0</v>
      </c>
      <c r="X23" s="14" t="str">
        <f>VLOOKUP(D23,'Obs Conc_1'!$C$23:$Q$78,11,FALSE)</f>
        <v>OOR &lt;</v>
      </c>
      <c r="Y23" s="15">
        <f>VLOOKUP(D23,'Obs Conc %CV_1'!$C$23:$Q$78,11,FALSE)</f>
        <v>0</v>
      </c>
      <c r="Z23" s="14" t="str">
        <f>VLOOKUP(D23,'Obs Conc_1'!$C$23:$Q$78,12,FALSE)</f>
        <v>OOR &lt;</v>
      </c>
      <c r="AA23" s="15">
        <f>VLOOKUP(D23,'Obs Conc %CV_1'!$C$23:$Q$78,12,FALSE)</f>
        <v>0</v>
      </c>
      <c r="AB23" s="14" t="str">
        <f>VLOOKUP(D23,'Obs Conc_1'!$C$23:$Q$78,13,FALSE)</f>
        <v>OOR &lt;</v>
      </c>
      <c r="AC23" s="15">
        <f>VLOOKUP(D23,'Obs Conc %CV_1'!$C$23:$Q$78,13,FALSE)</f>
        <v>0</v>
      </c>
      <c r="AD23" s="14" t="str">
        <f>VLOOKUP(D23,'Obs Conc_1'!$C$23:$Q$78,14,FALSE)</f>
        <v>OOR &lt;</v>
      </c>
      <c r="AE23" s="15">
        <f>VLOOKUP(D23,'Obs Conc %CV_1'!$C$23:$Q$78,14,FALSE)</f>
        <v>0</v>
      </c>
      <c r="AF23" s="14" t="str">
        <f>VLOOKUP(D23,'Obs Conc_1'!$C$23:$Q$78,15,FALSE)</f>
        <v>OOR &lt;</v>
      </c>
      <c r="AG23" s="15">
        <f>VLOOKUP(D23,'Obs Conc %CV_1'!$C$23:$Q$78,15,FALSE)</f>
        <v>0</v>
      </c>
    </row>
    <row r="24" spans="1:33" x14ac:dyDescent="0.2">
      <c r="A24" s="2" t="s">
        <v>3</v>
      </c>
      <c r="B24" s="3" t="s">
        <v>35</v>
      </c>
      <c r="C24" s="2" t="s">
        <v>93</v>
      </c>
      <c r="D24" s="6" t="s">
        <v>142</v>
      </c>
      <c r="E24" s="12" t="s">
        <v>0</v>
      </c>
      <c r="F24" s="14" t="str">
        <f>VLOOKUP(D24,'Obs Conc_1'!$C$23:$Q$78,2,FALSE)</f>
        <v>OOR &lt;</v>
      </c>
      <c r="G24" s="15">
        <f>VLOOKUP(D24,'Obs Conc %CV_1'!$C$23:$Q$78,2,FALSE)</f>
        <v>0</v>
      </c>
      <c r="H24" s="14" t="str">
        <f>VLOOKUP(D24,'Obs Conc_1'!$C$23:$Q$78,3,FALSE)</f>
        <v>OOR &lt;</v>
      </c>
      <c r="I24" s="15">
        <f>VLOOKUP(D24,'Obs Conc %CV_1'!$C$23:$Q$78,3,FALSE)</f>
        <v>0</v>
      </c>
      <c r="J24" s="14" t="str">
        <f>VLOOKUP(D24,'Obs Conc_1'!$C$23:$Q$78,4,FALSE)</f>
        <v>OOR &lt;</v>
      </c>
      <c r="K24" s="15">
        <f>VLOOKUP(D24,'Obs Conc %CV_1'!$C$23:$Q$78,4,FALSE)</f>
        <v>0</v>
      </c>
      <c r="L24" s="14" t="str">
        <f>VLOOKUP(D24,'Obs Conc_1'!$C$23:$Q$78,5,FALSE)</f>
        <v>OOR &lt;</v>
      </c>
      <c r="M24" s="15">
        <f>VLOOKUP(D24,'Obs Conc %CV_1'!$C$23:$Q$78,5,FALSE)</f>
        <v>0</v>
      </c>
      <c r="N24" s="14" t="str">
        <f>VLOOKUP(D24,'Obs Conc_1'!$C$23:$Q$78,6,FALSE)</f>
        <v>OOR &lt;</v>
      </c>
      <c r="O24" s="15">
        <f>VLOOKUP(D24,'Obs Conc %CV_1'!$C$23:$Q$78,6,FALSE)</f>
        <v>0</v>
      </c>
      <c r="P24" s="14" t="str">
        <f>VLOOKUP(D24,'Obs Conc_1'!$C$23:$Q$78,7,FALSE)</f>
        <v>OOR &lt;</v>
      </c>
      <c r="Q24" s="15">
        <f>VLOOKUP(D24,'Obs Conc %CV_1'!$C$23:$Q$78,7,FALSE)</f>
        <v>0</v>
      </c>
      <c r="R24" s="14" t="str">
        <f>VLOOKUP(D24,'Obs Conc_1'!$C$23:$Q$78,8,FALSE)</f>
        <v>*0.86</v>
      </c>
      <c r="S24" s="15">
        <f>VLOOKUP(D24,'Obs Conc %CV_1'!$C$23:$Q$78,8,FALSE)</f>
        <v>0</v>
      </c>
      <c r="T24" s="14" t="str">
        <f>VLOOKUP(D24,'Obs Conc_1'!$C$23:$Q$78,9,FALSE)</f>
        <v>OOR &lt;</v>
      </c>
      <c r="U24" s="15">
        <f>VLOOKUP(D24,'Obs Conc %CV_1'!$C$23:$Q$78,9,FALSE)</f>
        <v>0</v>
      </c>
      <c r="V24" s="14">
        <f>VLOOKUP(D24,'Obs Conc_1'!$C$23:$Q$78,10,FALSE)</f>
        <v>330.81</v>
      </c>
      <c r="W24" s="15">
        <f>VLOOKUP(D24,'Obs Conc %CV_1'!$C$23:$Q$78,10,FALSE)</f>
        <v>0</v>
      </c>
      <c r="X24" s="14" t="str">
        <f>VLOOKUP(D24,'Obs Conc_1'!$C$23:$Q$78,11,FALSE)</f>
        <v>OOR &lt;</v>
      </c>
      <c r="Y24" s="15">
        <f>VLOOKUP(D24,'Obs Conc %CV_1'!$C$23:$Q$78,11,FALSE)</f>
        <v>0</v>
      </c>
      <c r="Z24" s="14" t="str">
        <f>VLOOKUP(D24,'Obs Conc_1'!$C$23:$Q$78,12,FALSE)</f>
        <v>OOR &lt;</v>
      </c>
      <c r="AA24" s="15">
        <f>VLOOKUP(D24,'Obs Conc %CV_1'!$C$23:$Q$78,12,FALSE)</f>
        <v>0</v>
      </c>
      <c r="AB24" s="14" t="str">
        <f>VLOOKUP(D24,'Obs Conc_1'!$C$23:$Q$78,13,FALSE)</f>
        <v>OOR &lt;</v>
      </c>
      <c r="AC24" s="15">
        <f>VLOOKUP(D24,'Obs Conc %CV_1'!$C$23:$Q$78,13,FALSE)</f>
        <v>0</v>
      </c>
      <c r="AD24" s="14" t="str">
        <f>VLOOKUP(D24,'Obs Conc_1'!$C$23:$Q$78,14,FALSE)</f>
        <v>OOR &lt;</v>
      </c>
      <c r="AE24" s="15">
        <f>VLOOKUP(D24,'Obs Conc %CV_1'!$C$23:$Q$78,14,FALSE)</f>
        <v>0</v>
      </c>
      <c r="AF24" s="14" t="str">
        <f>VLOOKUP(D24,'Obs Conc_1'!$C$23:$Q$78,15,FALSE)</f>
        <v>OOR &lt;</v>
      </c>
      <c r="AG24" s="15">
        <f>VLOOKUP(D24,'Obs Conc %CV_1'!$C$23:$Q$78,15,FALSE)</f>
        <v>0</v>
      </c>
    </row>
    <row r="25" spans="1:33" x14ac:dyDescent="0.2">
      <c r="A25" s="2" t="s">
        <v>3</v>
      </c>
      <c r="B25" s="3" t="s">
        <v>35</v>
      </c>
      <c r="C25" s="2" t="s">
        <v>92</v>
      </c>
      <c r="D25" s="6" t="s">
        <v>143</v>
      </c>
      <c r="E25" s="12" t="s">
        <v>0</v>
      </c>
      <c r="F25" s="14" t="str">
        <f>VLOOKUP(D25,'Obs Conc_1'!$C$23:$Q$78,2,FALSE)</f>
        <v>OOR &lt;</v>
      </c>
      <c r="G25" s="15">
        <f>VLOOKUP(D25,'Obs Conc %CV_1'!$C$23:$Q$78,2,FALSE)</f>
        <v>0</v>
      </c>
      <c r="H25" s="14" t="str">
        <f>VLOOKUP(D25,'Obs Conc_1'!$C$23:$Q$78,3,FALSE)</f>
        <v>OOR &lt;</v>
      </c>
      <c r="I25" s="15">
        <f>VLOOKUP(D25,'Obs Conc %CV_1'!$C$23:$Q$78,3,FALSE)</f>
        <v>0</v>
      </c>
      <c r="J25" s="14" t="str">
        <f>VLOOKUP(D25,'Obs Conc_1'!$C$23:$Q$78,4,FALSE)</f>
        <v>OOR &lt;</v>
      </c>
      <c r="K25" s="15">
        <f>VLOOKUP(D25,'Obs Conc %CV_1'!$C$23:$Q$78,4,FALSE)</f>
        <v>0</v>
      </c>
      <c r="L25" s="14" t="str">
        <f>VLOOKUP(D25,'Obs Conc_1'!$C$23:$Q$78,5,FALSE)</f>
        <v>OOR &lt;</v>
      </c>
      <c r="M25" s="15">
        <f>VLOOKUP(D25,'Obs Conc %CV_1'!$C$23:$Q$78,5,FALSE)</f>
        <v>0</v>
      </c>
      <c r="N25" s="14" t="str">
        <f>VLOOKUP(D25,'Obs Conc_1'!$C$23:$Q$78,6,FALSE)</f>
        <v>*3.83</v>
      </c>
      <c r="O25" s="15">
        <f>VLOOKUP(D25,'Obs Conc %CV_1'!$C$23:$Q$78,6,FALSE)</f>
        <v>0</v>
      </c>
      <c r="P25" s="14">
        <f>VLOOKUP(D25,'Obs Conc_1'!$C$23:$Q$78,7,FALSE)</f>
        <v>46.13</v>
      </c>
      <c r="Q25" s="15">
        <f>VLOOKUP(D25,'Obs Conc %CV_1'!$C$23:$Q$78,7,FALSE)</f>
        <v>0</v>
      </c>
      <c r="R25" s="14">
        <f>VLOOKUP(D25,'Obs Conc_1'!$C$23:$Q$78,8,FALSE)</f>
        <v>5.77</v>
      </c>
      <c r="S25" s="15">
        <f>VLOOKUP(D25,'Obs Conc %CV_1'!$C$23:$Q$78,8,FALSE)</f>
        <v>0</v>
      </c>
      <c r="T25" s="14" t="str">
        <f>VLOOKUP(D25,'Obs Conc_1'!$C$23:$Q$78,9,FALSE)</f>
        <v>*0.48</v>
      </c>
      <c r="U25" s="15">
        <f>VLOOKUP(D25,'Obs Conc %CV_1'!$C$23:$Q$78,9,FALSE)</f>
        <v>0</v>
      </c>
      <c r="V25" s="14">
        <f>VLOOKUP(D25,'Obs Conc_1'!$C$23:$Q$78,10,FALSE)</f>
        <v>291.14999999999998</v>
      </c>
      <c r="W25" s="15">
        <f>VLOOKUP(D25,'Obs Conc %CV_1'!$C$23:$Q$78,10,FALSE)</f>
        <v>0</v>
      </c>
      <c r="X25" s="14" t="str">
        <f>VLOOKUP(D25,'Obs Conc_1'!$C$23:$Q$78,11,FALSE)</f>
        <v>OOR &lt;</v>
      </c>
      <c r="Y25" s="15">
        <f>VLOOKUP(D25,'Obs Conc %CV_1'!$C$23:$Q$78,11,FALSE)</f>
        <v>0</v>
      </c>
      <c r="Z25" s="14" t="str">
        <f>VLOOKUP(D25,'Obs Conc_1'!$C$23:$Q$78,12,FALSE)</f>
        <v>OOR &lt;</v>
      </c>
      <c r="AA25" s="15">
        <f>VLOOKUP(D25,'Obs Conc %CV_1'!$C$23:$Q$78,12,FALSE)</f>
        <v>0</v>
      </c>
      <c r="AB25" s="14" t="str">
        <f>VLOOKUP(D25,'Obs Conc_1'!$C$23:$Q$78,13,FALSE)</f>
        <v>OOR &lt;</v>
      </c>
      <c r="AC25" s="15">
        <f>VLOOKUP(D25,'Obs Conc %CV_1'!$C$23:$Q$78,13,FALSE)</f>
        <v>0</v>
      </c>
      <c r="AD25" s="14" t="str">
        <f>VLOOKUP(D25,'Obs Conc_1'!$C$23:$Q$78,14,FALSE)</f>
        <v>OOR &lt;</v>
      </c>
      <c r="AE25" s="15">
        <f>VLOOKUP(D25,'Obs Conc %CV_1'!$C$23:$Q$78,14,FALSE)</f>
        <v>0</v>
      </c>
      <c r="AF25" s="14" t="str">
        <f>VLOOKUP(D25,'Obs Conc_1'!$C$23:$Q$78,15,FALSE)</f>
        <v>OOR &lt;</v>
      </c>
      <c r="AG25" s="15">
        <f>VLOOKUP(D25,'Obs Conc %CV_1'!$C$23:$Q$78,15,FALSE)</f>
        <v>0</v>
      </c>
    </row>
    <row r="26" spans="1:33" x14ac:dyDescent="0.2">
      <c r="A26" s="2" t="s">
        <v>3</v>
      </c>
      <c r="B26" s="3" t="s">
        <v>35</v>
      </c>
      <c r="C26" s="2" t="s">
        <v>91</v>
      </c>
      <c r="D26" s="6" t="s">
        <v>144</v>
      </c>
      <c r="E26" s="12" t="s">
        <v>0</v>
      </c>
      <c r="F26" s="14" t="str">
        <f>VLOOKUP(D26,'Obs Conc_1'!$C$23:$Q$78,2,FALSE)</f>
        <v>OOR &lt;</v>
      </c>
      <c r="G26" s="15">
        <f>VLOOKUP(D26,'Obs Conc %CV_1'!$C$23:$Q$78,2,FALSE)</f>
        <v>0</v>
      </c>
      <c r="H26" s="14" t="str">
        <f>VLOOKUP(D26,'Obs Conc_1'!$C$23:$Q$78,3,FALSE)</f>
        <v>OOR &lt;</v>
      </c>
      <c r="I26" s="15">
        <f>VLOOKUP(D26,'Obs Conc %CV_1'!$C$23:$Q$78,3,FALSE)</f>
        <v>0</v>
      </c>
      <c r="J26" s="14" t="str">
        <f>VLOOKUP(D26,'Obs Conc_1'!$C$23:$Q$78,4,FALSE)</f>
        <v>OOR &lt;</v>
      </c>
      <c r="K26" s="15">
        <f>VLOOKUP(D26,'Obs Conc %CV_1'!$C$23:$Q$78,4,FALSE)</f>
        <v>0</v>
      </c>
      <c r="L26" s="14" t="str">
        <f>VLOOKUP(D26,'Obs Conc_1'!$C$23:$Q$78,5,FALSE)</f>
        <v>OOR &lt;</v>
      </c>
      <c r="M26" s="15">
        <f>VLOOKUP(D26,'Obs Conc %CV_1'!$C$23:$Q$78,5,FALSE)</f>
        <v>0</v>
      </c>
      <c r="N26" s="14" t="str">
        <f>VLOOKUP(D26,'Obs Conc_1'!$C$23:$Q$78,6,FALSE)</f>
        <v>*1.21</v>
      </c>
      <c r="O26" s="15">
        <f>VLOOKUP(D26,'Obs Conc %CV_1'!$C$23:$Q$78,6,FALSE)</f>
        <v>0</v>
      </c>
      <c r="P26" s="14" t="str">
        <f>VLOOKUP(D26,'Obs Conc_1'!$C$23:$Q$78,7,FALSE)</f>
        <v>OOR &lt;</v>
      </c>
      <c r="Q26" s="15">
        <f>VLOOKUP(D26,'Obs Conc %CV_1'!$C$23:$Q$78,7,FALSE)</f>
        <v>0</v>
      </c>
      <c r="R26" s="14" t="str">
        <f>VLOOKUP(D26,'Obs Conc_1'!$C$23:$Q$78,8,FALSE)</f>
        <v>OOR &lt;</v>
      </c>
      <c r="S26" s="15">
        <f>VLOOKUP(D26,'Obs Conc %CV_1'!$C$23:$Q$78,8,FALSE)</f>
        <v>0</v>
      </c>
      <c r="T26" s="14" t="str">
        <f>VLOOKUP(D26,'Obs Conc_1'!$C$23:$Q$78,9,FALSE)</f>
        <v>OOR &lt;</v>
      </c>
      <c r="U26" s="15">
        <f>VLOOKUP(D26,'Obs Conc %CV_1'!$C$23:$Q$78,9,FALSE)</f>
        <v>0</v>
      </c>
      <c r="V26" s="14">
        <f>VLOOKUP(D26,'Obs Conc_1'!$C$23:$Q$78,10,FALSE)</f>
        <v>178.07</v>
      </c>
      <c r="W26" s="15">
        <f>VLOOKUP(D26,'Obs Conc %CV_1'!$C$23:$Q$78,10,FALSE)</f>
        <v>0</v>
      </c>
      <c r="X26" s="14" t="str">
        <f>VLOOKUP(D26,'Obs Conc_1'!$C$23:$Q$78,11,FALSE)</f>
        <v>OOR &lt;</v>
      </c>
      <c r="Y26" s="15">
        <f>VLOOKUP(D26,'Obs Conc %CV_1'!$C$23:$Q$78,11,FALSE)</f>
        <v>0</v>
      </c>
      <c r="Z26" s="14" t="str">
        <f>VLOOKUP(D26,'Obs Conc_1'!$C$23:$Q$78,12,FALSE)</f>
        <v>OOR &lt;</v>
      </c>
      <c r="AA26" s="15">
        <f>VLOOKUP(D26,'Obs Conc %CV_1'!$C$23:$Q$78,12,FALSE)</f>
        <v>0</v>
      </c>
      <c r="AB26" s="14" t="str">
        <f>VLOOKUP(D26,'Obs Conc_1'!$C$23:$Q$78,13,FALSE)</f>
        <v>OOR &lt;</v>
      </c>
      <c r="AC26" s="15">
        <f>VLOOKUP(D26,'Obs Conc %CV_1'!$C$23:$Q$78,13,FALSE)</f>
        <v>0</v>
      </c>
      <c r="AD26" s="14" t="str">
        <f>VLOOKUP(D26,'Obs Conc_1'!$C$23:$Q$78,14,FALSE)</f>
        <v>OOR &lt;</v>
      </c>
      <c r="AE26" s="15">
        <f>VLOOKUP(D26,'Obs Conc %CV_1'!$C$23:$Q$78,14,FALSE)</f>
        <v>0</v>
      </c>
      <c r="AF26" s="14" t="str">
        <f>VLOOKUP(D26,'Obs Conc_1'!$C$23:$Q$78,15,FALSE)</f>
        <v>OOR &lt;</v>
      </c>
      <c r="AG26" s="15">
        <f>VLOOKUP(D26,'Obs Conc %CV_1'!$C$23:$Q$78,15,FALSE)</f>
        <v>0</v>
      </c>
    </row>
    <row r="27" spans="1:33" x14ac:dyDescent="0.2">
      <c r="A27" s="2" t="s">
        <v>3</v>
      </c>
      <c r="B27" s="3" t="s">
        <v>35</v>
      </c>
      <c r="C27" s="2" t="s">
        <v>90</v>
      </c>
      <c r="D27" s="6" t="s">
        <v>145</v>
      </c>
      <c r="E27" s="12" t="s">
        <v>0</v>
      </c>
      <c r="F27" s="14" t="str">
        <f>VLOOKUP(D27,'Obs Conc_1'!$C$23:$Q$78,2,FALSE)</f>
        <v>OOR &lt;</v>
      </c>
      <c r="G27" s="15">
        <f>VLOOKUP(D27,'Obs Conc %CV_1'!$C$23:$Q$78,2,FALSE)</f>
        <v>0</v>
      </c>
      <c r="H27" s="14" t="str">
        <f>VLOOKUP(D27,'Obs Conc_1'!$C$23:$Q$78,3,FALSE)</f>
        <v>OOR &lt;</v>
      </c>
      <c r="I27" s="15">
        <f>VLOOKUP(D27,'Obs Conc %CV_1'!$C$23:$Q$78,3,FALSE)</f>
        <v>0</v>
      </c>
      <c r="J27" s="14" t="str">
        <f>VLOOKUP(D27,'Obs Conc_1'!$C$23:$Q$78,4,FALSE)</f>
        <v>OOR &lt;</v>
      </c>
      <c r="K27" s="15">
        <f>VLOOKUP(D27,'Obs Conc %CV_1'!$C$23:$Q$78,4,FALSE)</f>
        <v>0</v>
      </c>
      <c r="L27" s="14" t="str">
        <f>VLOOKUP(D27,'Obs Conc_1'!$C$23:$Q$78,5,FALSE)</f>
        <v>OOR &lt;</v>
      </c>
      <c r="M27" s="15">
        <f>VLOOKUP(D27,'Obs Conc %CV_1'!$C$23:$Q$78,5,FALSE)</f>
        <v>0</v>
      </c>
      <c r="N27" s="14" t="str">
        <f>VLOOKUP(D27,'Obs Conc_1'!$C$23:$Q$78,6,FALSE)</f>
        <v>OOR &lt;</v>
      </c>
      <c r="O27" s="15">
        <f>VLOOKUP(D27,'Obs Conc %CV_1'!$C$23:$Q$78,6,FALSE)</f>
        <v>0</v>
      </c>
      <c r="P27" s="14">
        <f>VLOOKUP(D27,'Obs Conc_1'!$C$23:$Q$78,7,FALSE)</f>
        <v>31.76</v>
      </c>
      <c r="Q27" s="15">
        <f>VLOOKUP(D27,'Obs Conc %CV_1'!$C$23:$Q$78,7,FALSE)</f>
        <v>0</v>
      </c>
      <c r="R27" s="14">
        <f>VLOOKUP(D27,'Obs Conc_1'!$C$23:$Q$78,8,FALSE)</f>
        <v>14.94</v>
      </c>
      <c r="S27" s="15">
        <f>VLOOKUP(D27,'Obs Conc %CV_1'!$C$23:$Q$78,8,FALSE)</f>
        <v>0</v>
      </c>
      <c r="T27" s="14">
        <f>VLOOKUP(D27,'Obs Conc_1'!$C$23:$Q$78,9,FALSE)</f>
        <v>2.02</v>
      </c>
      <c r="U27" s="15">
        <f>VLOOKUP(D27,'Obs Conc %CV_1'!$C$23:$Q$78,9,FALSE)</f>
        <v>0</v>
      </c>
      <c r="V27" s="14">
        <f>VLOOKUP(D27,'Obs Conc_1'!$C$23:$Q$78,10,FALSE)</f>
        <v>984.21</v>
      </c>
      <c r="W27" s="15">
        <f>VLOOKUP(D27,'Obs Conc %CV_1'!$C$23:$Q$78,10,FALSE)</f>
        <v>0</v>
      </c>
      <c r="X27" s="14" t="str">
        <f>VLOOKUP(D27,'Obs Conc_1'!$C$23:$Q$78,11,FALSE)</f>
        <v>OOR &lt;</v>
      </c>
      <c r="Y27" s="15">
        <f>VLOOKUP(D27,'Obs Conc %CV_1'!$C$23:$Q$78,11,FALSE)</f>
        <v>0</v>
      </c>
      <c r="Z27" s="14" t="str">
        <f>VLOOKUP(D27,'Obs Conc_1'!$C$23:$Q$78,12,FALSE)</f>
        <v>OOR &lt;</v>
      </c>
      <c r="AA27" s="15">
        <f>VLOOKUP(D27,'Obs Conc %CV_1'!$C$23:$Q$78,12,FALSE)</f>
        <v>0</v>
      </c>
      <c r="AB27" s="14" t="str">
        <f>VLOOKUP(D27,'Obs Conc_1'!$C$23:$Q$78,13,FALSE)</f>
        <v>OOR &lt;</v>
      </c>
      <c r="AC27" s="15">
        <f>VLOOKUP(D27,'Obs Conc %CV_1'!$C$23:$Q$78,13,FALSE)</f>
        <v>0</v>
      </c>
      <c r="AD27" s="14" t="str">
        <f>VLOOKUP(D27,'Obs Conc_1'!$C$23:$Q$78,14,FALSE)</f>
        <v>OOR &lt;</v>
      </c>
      <c r="AE27" s="15">
        <f>VLOOKUP(D27,'Obs Conc %CV_1'!$C$23:$Q$78,14,FALSE)</f>
        <v>0</v>
      </c>
      <c r="AF27" s="14" t="str">
        <f>VLOOKUP(D27,'Obs Conc_1'!$C$23:$Q$78,15,FALSE)</f>
        <v>OOR &lt;</v>
      </c>
      <c r="AG27" s="15">
        <f>VLOOKUP(D27,'Obs Conc %CV_1'!$C$23:$Q$78,15,FALSE)</f>
        <v>0</v>
      </c>
    </row>
    <row r="28" spans="1:33" x14ac:dyDescent="0.2">
      <c r="A28" s="2" t="s">
        <v>3</v>
      </c>
      <c r="B28" s="3" t="s">
        <v>35</v>
      </c>
      <c r="C28" s="2" t="s">
        <v>89</v>
      </c>
      <c r="D28" s="6" t="s">
        <v>146</v>
      </c>
      <c r="E28" s="12" t="s">
        <v>0</v>
      </c>
      <c r="F28" s="14" t="str">
        <f>VLOOKUP(D28,'Obs Conc_1'!$C$23:$Q$78,2,FALSE)</f>
        <v>OOR &lt;</v>
      </c>
      <c r="G28" s="15">
        <f>VLOOKUP(D28,'Obs Conc %CV_1'!$C$23:$Q$78,2,FALSE)</f>
        <v>0</v>
      </c>
      <c r="H28" s="14" t="str">
        <f>VLOOKUP(D28,'Obs Conc_1'!$C$23:$Q$78,3,FALSE)</f>
        <v>OOR &lt;</v>
      </c>
      <c r="I28" s="15">
        <f>VLOOKUP(D28,'Obs Conc %CV_1'!$C$23:$Q$78,3,FALSE)</f>
        <v>0</v>
      </c>
      <c r="J28" s="14" t="str">
        <f>VLOOKUP(D28,'Obs Conc_1'!$C$23:$Q$78,4,FALSE)</f>
        <v>OOR &lt;</v>
      </c>
      <c r="K28" s="15">
        <f>VLOOKUP(D28,'Obs Conc %CV_1'!$C$23:$Q$78,4,FALSE)</f>
        <v>0</v>
      </c>
      <c r="L28" s="14" t="str">
        <f>VLOOKUP(D28,'Obs Conc_1'!$C$23:$Q$78,5,FALSE)</f>
        <v>OOR &lt;</v>
      </c>
      <c r="M28" s="15">
        <f>VLOOKUP(D28,'Obs Conc %CV_1'!$C$23:$Q$78,5,FALSE)</f>
        <v>0</v>
      </c>
      <c r="N28" s="14" t="str">
        <f>VLOOKUP(D28,'Obs Conc_1'!$C$23:$Q$78,6,FALSE)</f>
        <v>*1.21</v>
      </c>
      <c r="O28" s="15">
        <f>VLOOKUP(D28,'Obs Conc %CV_1'!$C$23:$Q$78,6,FALSE)</f>
        <v>0</v>
      </c>
      <c r="P28" s="14">
        <f>VLOOKUP(D28,'Obs Conc_1'!$C$23:$Q$78,7,FALSE)</f>
        <v>14.12</v>
      </c>
      <c r="Q28" s="15">
        <f>VLOOKUP(D28,'Obs Conc %CV_1'!$C$23:$Q$78,7,FALSE)</f>
        <v>0</v>
      </c>
      <c r="R28" s="14" t="str">
        <f>VLOOKUP(D28,'Obs Conc_1'!$C$23:$Q$78,8,FALSE)</f>
        <v>*0.66</v>
      </c>
      <c r="S28" s="15">
        <f>VLOOKUP(D28,'Obs Conc %CV_1'!$C$23:$Q$78,8,FALSE)</f>
        <v>0</v>
      </c>
      <c r="T28" s="14" t="str">
        <f>VLOOKUP(D28,'Obs Conc_1'!$C$23:$Q$78,9,FALSE)</f>
        <v>OOR &lt;</v>
      </c>
      <c r="U28" s="15">
        <f>VLOOKUP(D28,'Obs Conc %CV_1'!$C$23:$Q$78,9,FALSE)</f>
        <v>0</v>
      </c>
      <c r="V28" s="14">
        <f>VLOOKUP(D28,'Obs Conc_1'!$C$23:$Q$78,10,FALSE)</f>
        <v>401.64</v>
      </c>
      <c r="W28" s="15">
        <f>VLOOKUP(D28,'Obs Conc %CV_1'!$C$23:$Q$78,10,FALSE)</f>
        <v>0</v>
      </c>
      <c r="X28" s="14" t="str">
        <f>VLOOKUP(D28,'Obs Conc_1'!$C$23:$Q$78,11,FALSE)</f>
        <v>OOR &lt;</v>
      </c>
      <c r="Y28" s="15">
        <f>VLOOKUP(D28,'Obs Conc %CV_1'!$C$23:$Q$78,11,FALSE)</f>
        <v>0</v>
      </c>
      <c r="Z28" s="14" t="str">
        <f>VLOOKUP(D28,'Obs Conc_1'!$C$23:$Q$78,12,FALSE)</f>
        <v>OOR &lt;</v>
      </c>
      <c r="AA28" s="15">
        <f>VLOOKUP(D28,'Obs Conc %CV_1'!$C$23:$Q$78,12,FALSE)</f>
        <v>0</v>
      </c>
      <c r="AB28" s="14" t="str">
        <f>VLOOKUP(D28,'Obs Conc_1'!$C$23:$Q$78,13,FALSE)</f>
        <v>OOR &lt;</v>
      </c>
      <c r="AC28" s="15">
        <f>VLOOKUP(D28,'Obs Conc %CV_1'!$C$23:$Q$78,13,FALSE)</f>
        <v>0</v>
      </c>
      <c r="AD28" s="14" t="str">
        <f>VLOOKUP(D28,'Obs Conc_1'!$C$23:$Q$78,14,FALSE)</f>
        <v>OOR &lt;</v>
      </c>
      <c r="AE28" s="15">
        <f>VLOOKUP(D28,'Obs Conc %CV_1'!$C$23:$Q$78,14,FALSE)</f>
        <v>0</v>
      </c>
      <c r="AF28" s="14" t="str">
        <f>VLOOKUP(D28,'Obs Conc_1'!$C$23:$Q$78,15,FALSE)</f>
        <v>OOR &lt;</v>
      </c>
      <c r="AG28" s="15">
        <f>VLOOKUP(D28,'Obs Conc %CV_1'!$C$23:$Q$78,15,FALSE)</f>
        <v>0</v>
      </c>
    </row>
    <row r="29" spans="1:33" x14ac:dyDescent="0.2">
      <c r="A29" s="2" t="s">
        <v>3</v>
      </c>
      <c r="B29" s="3" t="s">
        <v>35</v>
      </c>
      <c r="C29" s="2" t="s">
        <v>88</v>
      </c>
      <c r="D29" s="6" t="s">
        <v>147</v>
      </c>
      <c r="E29" s="12" t="s">
        <v>0</v>
      </c>
      <c r="F29" s="14" t="str">
        <f>VLOOKUP(D29,'Obs Conc_1'!$C$23:$Q$78,2,FALSE)</f>
        <v>OOR &lt;</v>
      </c>
      <c r="G29" s="15">
        <f>VLOOKUP(D29,'Obs Conc %CV_1'!$C$23:$Q$78,2,FALSE)</f>
        <v>0</v>
      </c>
      <c r="H29" s="14" t="str">
        <f>VLOOKUP(D29,'Obs Conc_1'!$C$23:$Q$78,3,FALSE)</f>
        <v>OOR &lt;</v>
      </c>
      <c r="I29" s="15">
        <f>VLOOKUP(D29,'Obs Conc %CV_1'!$C$23:$Q$78,3,FALSE)</f>
        <v>0</v>
      </c>
      <c r="J29" s="14" t="str">
        <f>VLOOKUP(D29,'Obs Conc_1'!$C$23:$Q$78,4,FALSE)</f>
        <v>OOR &lt;</v>
      </c>
      <c r="K29" s="15">
        <f>VLOOKUP(D29,'Obs Conc %CV_1'!$C$23:$Q$78,4,FALSE)</f>
        <v>0</v>
      </c>
      <c r="L29" s="14" t="str">
        <f>VLOOKUP(D29,'Obs Conc_1'!$C$23:$Q$78,5,FALSE)</f>
        <v>OOR &lt;</v>
      </c>
      <c r="M29" s="15">
        <f>VLOOKUP(D29,'Obs Conc %CV_1'!$C$23:$Q$78,5,FALSE)</f>
        <v>0</v>
      </c>
      <c r="N29" s="14" t="str">
        <f>VLOOKUP(D29,'Obs Conc_1'!$C$23:$Q$78,6,FALSE)</f>
        <v>*1.21</v>
      </c>
      <c r="O29" s="15">
        <f>VLOOKUP(D29,'Obs Conc %CV_1'!$C$23:$Q$78,6,FALSE)</f>
        <v>0</v>
      </c>
      <c r="P29" s="14" t="str">
        <f>VLOOKUP(D29,'Obs Conc_1'!$C$23:$Q$78,7,FALSE)</f>
        <v>OOR &lt;</v>
      </c>
      <c r="Q29" s="15">
        <f>VLOOKUP(D29,'Obs Conc %CV_1'!$C$23:$Q$78,7,FALSE)</f>
        <v>0</v>
      </c>
      <c r="R29" s="14">
        <f>VLOOKUP(D29,'Obs Conc_1'!$C$23:$Q$78,8,FALSE)</f>
        <v>68.28</v>
      </c>
      <c r="S29" s="15">
        <f>VLOOKUP(D29,'Obs Conc %CV_1'!$C$23:$Q$78,8,FALSE)</f>
        <v>0</v>
      </c>
      <c r="T29" s="14" t="str">
        <f>VLOOKUP(D29,'Obs Conc_1'!$C$23:$Q$78,9,FALSE)</f>
        <v>OOR &lt;</v>
      </c>
      <c r="U29" s="15">
        <f>VLOOKUP(D29,'Obs Conc %CV_1'!$C$23:$Q$78,9,FALSE)</f>
        <v>0</v>
      </c>
      <c r="V29" s="14">
        <f>VLOOKUP(D29,'Obs Conc_1'!$C$23:$Q$78,10,FALSE)</f>
        <v>966.84</v>
      </c>
      <c r="W29" s="15">
        <f>VLOOKUP(D29,'Obs Conc %CV_1'!$C$23:$Q$78,10,FALSE)</f>
        <v>0</v>
      </c>
      <c r="X29" s="14" t="str">
        <f>VLOOKUP(D29,'Obs Conc_1'!$C$23:$Q$78,11,FALSE)</f>
        <v>OOR &lt;</v>
      </c>
      <c r="Y29" s="15">
        <f>VLOOKUP(D29,'Obs Conc %CV_1'!$C$23:$Q$78,11,FALSE)</f>
        <v>0</v>
      </c>
      <c r="Z29" s="14" t="str">
        <f>VLOOKUP(D29,'Obs Conc_1'!$C$23:$Q$78,12,FALSE)</f>
        <v>*1.13</v>
      </c>
      <c r="AA29" s="15">
        <f>VLOOKUP(D29,'Obs Conc %CV_1'!$C$23:$Q$78,12,FALSE)</f>
        <v>0</v>
      </c>
      <c r="AB29" s="14" t="str">
        <f>VLOOKUP(D29,'Obs Conc_1'!$C$23:$Q$78,13,FALSE)</f>
        <v>OOR &lt;</v>
      </c>
      <c r="AC29" s="15">
        <f>VLOOKUP(D29,'Obs Conc %CV_1'!$C$23:$Q$78,13,FALSE)</f>
        <v>0</v>
      </c>
      <c r="AD29" s="14" t="str">
        <f>VLOOKUP(D29,'Obs Conc_1'!$C$23:$Q$78,14,FALSE)</f>
        <v>OOR &lt;</v>
      </c>
      <c r="AE29" s="15">
        <f>VLOOKUP(D29,'Obs Conc %CV_1'!$C$23:$Q$78,14,FALSE)</f>
        <v>0</v>
      </c>
      <c r="AF29" s="14" t="str">
        <f>VLOOKUP(D29,'Obs Conc_1'!$C$23:$Q$78,15,FALSE)</f>
        <v>OOR &lt;</v>
      </c>
      <c r="AG29" s="15">
        <f>VLOOKUP(D29,'Obs Conc %CV_1'!$C$23:$Q$78,15,FALSE)</f>
        <v>0</v>
      </c>
    </row>
    <row r="30" spans="1:33" x14ac:dyDescent="0.2">
      <c r="A30" s="2" t="s">
        <v>3</v>
      </c>
      <c r="B30" s="3" t="s">
        <v>35</v>
      </c>
      <c r="C30" s="2" t="s">
        <v>87</v>
      </c>
      <c r="D30" s="6" t="s">
        <v>148</v>
      </c>
      <c r="E30" s="12" t="s">
        <v>0</v>
      </c>
      <c r="F30" s="14" t="str">
        <f>VLOOKUP(D30,'Obs Conc_1'!$C$23:$Q$78,2,FALSE)</f>
        <v>OOR &lt;</v>
      </c>
      <c r="G30" s="15">
        <f>VLOOKUP(D30,'Obs Conc %CV_1'!$C$23:$Q$78,2,FALSE)</f>
        <v>0</v>
      </c>
      <c r="H30" s="14" t="str">
        <f>VLOOKUP(D30,'Obs Conc_1'!$C$23:$Q$78,3,FALSE)</f>
        <v>OOR &lt;</v>
      </c>
      <c r="I30" s="15">
        <f>VLOOKUP(D30,'Obs Conc %CV_1'!$C$23:$Q$78,3,FALSE)</f>
        <v>0</v>
      </c>
      <c r="J30" s="14" t="str">
        <f>VLOOKUP(D30,'Obs Conc_1'!$C$23:$Q$78,4,FALSE)</f>
        <v>OOR &lt;</v>
      </c>
      <c r="K30" s="15">
        <f>VLOOKUP(D30,'Obs Conc %CV_1'!$C$23:$Q$78,4,FALSE)</f>
        <v>0</v>
      </c>
      <c r="L30" s="14" t="str">
        <f>VLOOKUP(D30,'Obs Conc_1'!$C$23:$Q$78,5,FALSE)</f>
        <v>OOR &lt;</v>
      </c>
      <c r="M30" s="15">
        <f>VLOOKUP(D30,'Obs Conc %CV_1'!$C$23:$Q$78,5,FALSE)</f>
        <v>0</v>
      </c>
      <c r="N30" s="14" t="str">
        <f>VLOOKUP(D30,'Obs Conc_1'!$C$23:$Q$78,6,FALSE)</f>
        <v>OOR &lt;</v>
      </c>
      <c r="O30" s="15">
        <f>VLOOKUP(D30,'Obs Conc %CV_1'!$C$23:$Q$78,6,FALSE)</f>
        <v>0</v>
      </c>
      <c r="P30" s="14" t="str">
        <f>VLOOKUP(D30,'Obs Conc_1'!$C$23:$Q$78,7,FALSE)</f>
        <v>OOR &lt;</v>
      </c>
      <c r="Q30" s="15">
        <f>VLOOKUP(D30,'Obs Conc %CV_1'!$C$23:$Q$78,7,FALSE)</f>
        <v>0</v>
      </c>
      <c r="R30" s="14">
        <f>VLOOKUP(D30,'Obs Conc_1'!$C$23:$Q$78,8,FALSE)</f>
        <v>8.52</v>
      </c>
      <c r="S30" s="15">
        <f>VLOOKUP(D30,'Obs Conc %CV_1'!$C$23:$Q$78,8,FALSE)</f>
        <v>0</v>
      </c>
      <c r="T30" s="14" t="str">
        <f>VLOOKUP(D30,'Obs Conc_1'!$C$23:$Q$78,9,FALSE)</f>
        <v>OOR &lt;</v>
      </c>
      <c r="U30" s="15">
        <f>VLOOKUP(D30,'Obs Conc %CV_1'!$C$23:$Q$78,9,FALSE)</f>
        <v>0</v>
      </c>
      <c r="V30" s="14">
        <f>VLOOKUP(D30,'Obs Conc_1'!$C$23:$Q$78,10,FALSE)</f>
        <v>760.45</v>
      </c>
      <c r="W30" s="15">
        <f>VLOOKUP(D30,'Obs Conc %CV_1'!$C$23:$Q$78,10,FALSE)</f>
        <v>0</v>
      </c>
      <c r="X30" s="14" t="str">
        <f>VLOOKUP(D30,'Obs Conc_1'!$C$23:$Q$78,11,FALSE)</f>
        <v>OOR &lt;</v>
      </c>
      <c r="Y30" s="15">
        <f>VLOOKUP(D30,'Obs Conc %CV_1'!$C$23:$Q$78,11,FALSE)</f>
        <v>0</v>
      </c>
      <c r="Z30" s="14" t="str">
        <f>VLOOKUP(D30,'Obs Conc_1'!$C$23:$Q$78,12,FALSE)</f>
        <v>OOR &lt;</v>
      </c>
      <c r="AA30" s="15">
        <f>VLOOKUP(D30,'Obs Conc %CV_1'!$C$23:$Q$78,12,FALSE)</f>
        <v>0</v>
      </c>
      <c r="AB30" s="14" t="str">
        <f>VLOOKUP(D30,'Obs Conc_1'!$C$23:$Q$78,13,FALSE)</f>
        <v>OOR &lt;</v>
      </c>
      <c r="AC30" s="15">
        <f>VLOOKUP(D30,'Obs Conc %CV_1'!$C$23:$Q$78,13,FALSE)</f>
        <v>0</v>
      </c>
      <c r="AD30" s="14" t="str">
        <f>VLOOKUP(D30,'Obs Conc_1'!$C$23:$Q$78,14,FALSE)</f>
        <v>OOR &lt;</v>
      </c>
      <c r="AE30" s="15">
        <f>VLOOKUP(D30,'Obs Conc %CV_1'!$C$23:$Q$78,14,FALSE)</f>
        <v>0</v>
      </c>
      <c r="AF30" s="14" t="str">
        <f>VLOOKUP(D30,'Obs Conc_1'!$C$23:$Q$78,15,FALSE)</f>
        <v>OOR &lt;</v>
      </c>
      <c r="AG30" s="15">
        <f>VLOOKUP(D30,'Obs Conc %CV_1'!$C$23:$Q$78,15,FALSE)</f>
        <v>0</v>
      </c>
    </row>
    <row r="31" spans="1:33" x14ac:dyDescent="0.2">
      <c r="A31" s="2" t="s">
        <v>3</v>
      </c>
      <c r="B31" s="3" t="s">
        <v>35</v>
      </c>
      <c r="C31" s="2" t="s">
        <v>86</v>
      </c>
      <c r="D31" s="6" t="s">
        <v>149</v>
      </c>
      <c r="E31" s="12" t="s">
        <v>0</v>
      </c>
      <c r="F31" s="14" t="str">
        <f>VLOOKUP(D31,'Obs Conc_1'!$C$23:$Q$78,2,FALSE)</f>
        <v>OOR &lt;</v>
      </c>
      <c r="G31" s="15">
        <f>VLOOKUP(D31,'Obs Conc %CV_1'!$C$23:$Q$78,2,FALSE)</f>
        <v>0</v>
      </c>
      <c r="H31" s="14" t="str">
        <f>VLOOKUP(D31,'Obs Conc_1'!$C$23:$Q$78,3,FALSE)</f>
        <v>OOR &lt;</v>
      </c>
      <c r="I31" s="15">
        <f>VLOOKUP(D31,'Obs Conc %CV_1'!$C$23:$Q$78,3,FALSE)</f>
        <v>0</v>
      </c>
      <c r="J31" s="14" t="str">
        <f>VLOOKUP(D31,'Obs Conc_1'!$C$23:$Q$78,4,FALSE)</f>
        <v>OOR &lt;</v>
      </c>
      <c r="K31" s="15">
        <f>VLOOKUP(D31,'Obs Conc %CV_1'!$C$23:$Q$78,4,FALSE)</f>
        <v>0</v>
      </c>
      <c r="L31" s="14" t="str">
        <f>VLOOKUP(D31,'Obs Conc_1'!$C$23:$Q$78,5,FALSE)</f>
        <v>OOR &lt;</v>
      </c>
      <c r="M31" s="15">
        <f>VLOOKUP(D31,'Obs Conc %CV_1'!$C$23:$Q$78,5,FALSE)</f>
        <v>0</v>
      </c>
      <c r="N31" s="14" t="str">
        <f>VLOOKUP(D31,'Obs Conc_1'!$C$23:$Q$78,6,FALSE)</f>
        <v>OOR &lt;</v>
      </c>
      <c r="O31" s="15">
        <f>VLOOKUP(D31,'Obs Conc %CV_1'!$C$23:$Q$78,6,FALSE)</f>
        <v>0</v>
      </c>
      <c r="P31" s="14" t="str">
        <f>VLOOKUP(D31,'Obs Conc_1'!$C$23:$Q$78,7,FALSE)</f>
        <v>OOR &lt;</v>
      </c>
      <c r="Q31" s="15">
        <f>VLOOKUP(D31,'Obs Conc %CV_1'!$C$23:$Q$78,7,FALSE)</f>
        <v>0</v>
      </c>
      <c r="R31" s="14" t="str">
        <f>VLOOKUP(D31,'Obs Conc_1'!$C$23:$Q$78,8,FALSE)</f>
        <v>*1.78</v>
      </c>
      <c r="S31" s="15">
        <f>VLOOKUP(D31,'Obs Conc %CV_1'!$C$23:$Q$78,8,FALSE)</f>
        <v>0</v>
      </c>
      <c r="T31" s="14" t="str">
        <f>VLOOKUP(D31,'Obs Conc_1'!$C$23:$Q$78,9,FALSE)</f>
        <v>OOR &lt;</v>
      </c>
      <c r="U31" s="15">
        <f>VLOOKUP(D31,'Obs Conc %CV_1'!$C$23:$Q$78,9,FALSE)</f>
        <v>0</v>
      </c>
      <c r="V31" s="14">
        <f>VLOOKUP(D31,'Obs Conc_1'!$C$23:$Q$78,10,FALSE)</f>
        <v>553.75</v>
      </c>
      <c r="W31" s="15">
        <f>VLOOKUP(D31,'Obs Conc %CV_1'!$C$23:$Q$78,10,FALSE)</f>
        <v>0</v>
      </c>
      <c r="X31" s="14" t="str">
        <f>VLOOKUP(D31,'Obs Conc_1'!$C$23:$Q$78,11,FALSE)</f>
        <v>OOR &lt;</v>
      </c>
      <c r="Y31" s="15">
        <f>VLOOKUP(D31,'Obs Conc %CV_1'!$C$23:$Q$78,11,FALSE)</f>
        <v>0</v>
      </c>
      <c r="Z31" s="14" t="str">
        <f>VLOOKUP(D31,'Obs Conc_1'!$C$23:$Q$78,12,FALSE)</f>
        <v>OOR &lt;</v>
      </c>
      <c r="AA31" s="15">
        <f>VLOOKUP(D31,'Obs Conc %CV_1'!$C$23:$Q$78,12,FALSE)</f>
        <v>0</v>
      </c>
      <c r="AB31" s="14" t="str">
        <f>VLOOKUP(D31,'Obs Conc_1'!$C$23:$Q$78,13,FALSE)</f>
        <v>OOR &lt;</v>
      </c>
      <c r="AC31" s="15">
        <f>VLOOKUP(D31,'Obs Conc %CV_1'!$C$23:$Q$78,13,FALSE)</f>
        <v>0</v>
      </c>
      <c r="AD31" s="14" t="str">
        <f>VLOOKUP(D31,'Obs Conc_1'!$C$23:$Q$78,14,FALSE)</f>
        <v>OOR &lt;</v>
      </c>
      <c r="AE31" s="15">
        <f>VLOOKUP(D31,'Obs Conc %CV_1'!$C$23:$Q$78,14,FALSE)</f>
        <v>0</v>
      </c>
      <c r="AF31" s="14" t="str">
        <f>VLOOKUP(D31,'Obs Conc_1'!$C$23:$Q$78,15,FALSE)</f>
        <v>OOR &lt;</v>
      </c>
      <c r="AG31" s="15">
        <f>VLOOKUP(D31,'Obs Conc %CV_1'!$C$23:$Q$78,15,FALSE)</f>
        <v>0</v>
      </c>
    </row>
    <row r="32" spans="1:33" x14ac:dyDescent="0.2">
      <c r="A32" s="2" t="s">
        <v>3</v>
      </c>
      <c r="B32" s="3" t="s">
        <v>35</v>
      </c>
      <c r="C32" s="2" t="s">
        <v>85</v>
      </c>
      <c r="D32" s="6" t="s">
        <v>150</v>
      </c>
      <c r="E32" s="12" t="s">
        <v>0</v>
      </c>
      <c r="F32" s="14" t="str">
        <f>VLOOKUP(D32,'Obs Conc_1'!$C$23:$Q$78,2,FALSE)</f>
        <v>OOR &lt;</v>
      </c>
      <c r="G32" s="15">
        <f>VLOOKUP(D32,'Obs Conc %CV_1'!$C$23:$Q$78,2,FALSE)</f>
        <v>0</v>
      </c>
      <c r="H32" s="14" t="str">
        <f>VLOOKUP(D32,'Obs Conc_1'!$C$23:$Q$78,3,FALSE)</f>
        <v>OOR &lt;</v>
      </c>
      <c r="I32" s="15">
        <f>VLOOKUP(D32,'Obs Conc %CV_1'!$C$23:$Q$78,3,FALSE)</f>
        <v>0</v>
      </c>
      <c r="J32" s="14" t="str">
        <f>VLOOKUP(D32,'Obs Conc_1'!$C$23:$Q$78,4,FALSE)</f>
        <v>OOR &lt;</v>
      </c>
      <c r="K32" s="15">
        <f>VLOOKUP(D32,'Obs Conc %CV_1'!$C$23:$Q$78,4,FALSE)</f>
        <v>0</v>
      </c>
      <c r="L32" s="14" t="str">
        <f>VLOOKUP(D32,'Obs Conc_1'!$C$23:$Q$78,5,FALSE)</f>
        <v>OOR &lt;</v>
      </c>
      <c r="M32" s="15">
        <f>VLOOKUP(D32,'Obs Conc %CV_1'!$C$23:$Q$78,5,FALSE)</f>
        <v>0</v>
      </c>
      <c r="N32" s="14" t="str">
        <f>VLOOKUP(D32,'Obs Conc_1'!$C$23:$Q$78,6,FALSE)</f>
        <v>*1.21</v>
      </c>
      <c r="O32" s="15">
        <f>VLOOKUP(D32,'Obs Conc %CV_1'!$C$23:$Q$78,6,FALSE)</f>
        <v>0</v>
      </c>
      <c r="P32" s="14">
        <f>VLOOKUP(D32,'Obs Conc_1'!$C$23:$Q$78,7,FALSE)</f>
        <v>148.62</v>
      </c>
      <c r="Q32" s="15">
        <f>VLOOKUP(D32,'Obs Conc %CV_1'!$C$23:$Q$78,7,FALSE)</f>
        <v>0</v>
      </c>
      <c r="R32" s="14">
        <f>VLOOKUP(D32,'Obs Conc_1'!$C$23:$Q$78,8,FALSE)</f>
        <v>34.6</v>
      </c>
      <c r="S32" s="15">
        <f>VLOOKUP(D32,'Obs Conc %CV_1'!$C$23:$Q$78,8,FALSE)</f>
        <v>0</v>
      </c>
      <c r="T32" s="14">
        <f>VLOOKUP(D32,'Obs Conc_1'!$C$23:$Q$78,9,FALSE)</f>
        <v>195.65</v>
      </c>
      <c r="U32" s="15">
        <f>VLOOKUP(D32,'Obs Conc %CV_1'!$C$23:$Q$78,9,FALSE)</f>
        <v>0</v>
      </c>
      <c r="V32" s="14">
        <f>VLOOKUP(D32,'Obs Conc_1'!$C$23:$Q$78,10,FALSE)</f>
        <v>2079.09</v>
      </c>
      <c r="W32" s="15">
        <f>VLOOKUP(D32,'Obs Conc %CV_1'!$C$23:$Q$78,10,FALSE)</f>
        <v>0</v>
      </c>
      <c r="X32" s="14" t="str">
        <f>VLOOKUP(D32,'Obs Conc_1'!$C$23:$Q$78,11,FALSE)</f>
        <v>OOR &lt;</v>
      </c>
      <c r="Y32" s="15">
        <f>VLOOKUP(D32,'Obs Conc %CV_1'!$C$23:$Q$78,11,FALSE)</f>
        <v>0</v>
      </c>
      <c r="Z32" s="14" t="str">
        <f>VLOOKUP(D32,'Obs Conc_1'!$C$23:$Q$78,12,FALSE)</f>
        <v>OOR &lt;</v>
      </c>
      <c r="AA32" s="15">
        <f>VLOOKUP(D32,'Obs Conc %CV_1'!$C$23:$Q$78,12,FALSE)</f>
        <v>0</v>
      </c>
      <c r="AB32" s="14" t="str">
        <f>VLOOKUP(D32,'Obs Conc_1'!$C$23:$Q$78,13,FALSE)</f>
        <v>OOR &lt;</v>
      </c>
      <c r="AC32" s="15">
        <f>VLOOKUP(D32,'Obs Conc %CV_1'!$C$23:$Q$78,13,FALSE)</f>
        <v>0</v>
      </c>
      <c r="AD32" s="14" t="str">
        <f>VLOOKUP(D32,'Obs Conc_1'!$C$23:$Q$78,14,FALSE)</f>
        <v>OOR &lt;</v>
      </c>
      <c r="AE32" s="15">
        <f>VLOOKUP(D32,'Obs Conc %CV_1'!$C$23:$Q$78,14,FALSE)</f>
        <v>0</v>
      </c>
      <c r="AF32" s="14" t="str">
        <f>VLOOKUP(D32,'Obs Conc_1'!$C$23:$Q$78,15,FALSE)</f>
        <v>OOR &lt;</v>
      </c>
      <c r="AG32" s="15">
        <f>VLOOKUP(D32,'Obs Conc %CV_1'!$C$23:$Q$78,15,FALSE)</f>
        <v>0</v>
      </c>
    </row>
    <row r="33" spans="1:33" x14ac:dyDescent="0.2">
      <c r="A33" s="2" t="s">
        <v>3</v>
      </c>
      <c r="B33" s="3" t="s">
        <v>35</v>
      </c>
      <c r="C33" s="2" t="s">
        <v>84</v>
      </c>
      <c r="D33" s="6" t="s">
        <v>151</v>
      </c>
      <c r="E33" s="12" t="s">
        <v>0</v>
      </c>
      <c r="F33" s="14" t="str">
        <f>VLOOKUP(D33,'Obs Conc_1'!$C$23:$Q$78,2,FALSE)</f>
        <v>OOR &lt;</v>
      </c>
      <c r="G33" s="15">
        <f>VLOOKUP(D33,'Obs Conc %CV_1'!$C$23:$Q$78,2,FALSE)</f>
        <v>0</v>
      </c>
      <c r="H33" s="14" t="str">
        <f>VLOOKUP(D33,'Obs Conc_1'!$C$23:$Q$78,3,FALSE)</f>
        <v>OOR &lt;</v>
      </c>
      <c r="I33" s="15">
        <f>VLOOKUP(D33,'Obs Conc %CV_1'!$C$23:$Q$78,3,FALSE)</f>
        <v>0</v>
      </c>
      <c r="J33" s="14" t="str">
        <f>VLOOKUP(D33,'Obs Conc_1'!$C$23:$Q$78,4,FALSE)</f>
        <v>OOR &lt;</v>
      </c>
      <c r="K33" s="15">
        <f>VLOOKUP(D33,'Obs Conc %CV_1'!$C$23:$Q$78,4,FALSE)</f>
        <v>0</v>
      </c>
      <c r="L33" s="14" t="str">
        <f>VLOOKUP(D33,'Obs Conc_1'!$C$23:$Q$78,5,FALSE)</f>
        <v>OOR &lt;</v>
      </c>
      <c r="M33" s="15">
        <f>VLOOKUP(D33,'Obs Conc %CV_1'!$C$23:$Q$78,5,FALSE)</f>
        <v>0</v>
      </c>
      <c r="N33" s="14">
        <f>VLOOKUP(D33,'Obs Conc_1'!$C$23:$Q$78,6,FALSE)</f>
        <v>9.36</v>
      </c>
      <c r="O33" s="15">
        <f>VLOOKUP(D33,'Obs Conc %CV_1'!$C$23:$Q$78,6,FALSE)</f>
        <v>0</v>
      </c>
      <c r="P33" s="14">
        <f>VLOOKUP(D33,'Obs Conc_1'!$C$23:$Q$78,7,FALSE)</f>
        <v>36.630000000000003</v>
      </c>
      <c r="Q33" s="15">
        <f>VLOOKUP(D33,'Obs Conc %CV_1'!$C$23:$Q$78,7,FALSE)</f>
        <v>0</v>
      </c>
      <c r="R33" s="14">
        <f>VLOOKUP(D33,'Obs Conc_1'!$C$23:$Q$78,8,FALSE)</f>
        <v>123.52</v>
      </c>
      <c r="S33" s="15">
        <f>VLOOKUP(D33,'Obs Conc %CV_1'!$C$23:$Q$78,8,FALSE)</f>
        <v>0</v>
      </c>
      <c r="T33" s="14">
        <f>VLOOKUP(D33,'Obs Conc_1'!$C$23:$Q$78,9,FALSE)</f>
        <v>32.6</v>
      </c>
      <c r="U33" s="15">
        <f>VLOOKUP(D33,'Obs Conc %CV_1'!$C$23:$Q$78,9,FALSE)</f>
        <v>0</v>
      </c>
      <c r="V33" s="14">
        <f>VLOOKUP(D33,'Obs Conc_1'!$C$23:$Q$78,10,FALSE)</f>
        <v>2612.85</v>
      </c>
      <c r="W33" s="15">
        <f>VLOOKUP(D33,'Obs Conc %CV_1'!$C$23:$Q$78,10,FALSE)</f>
        <v>0</v>
      </c>
      <c r="X33" s="14" t="str">
        <f>VLOOKUP(D33,'Obs Conc_1'!$C$23:$Q$78,11,FALSE)</f>
        <v>OOR &lt;</v>
      </c>
      <c r="Y33" s="15">
        <f>VLOOKUP(D33,'Obs Conc %CV_1'!$C$23:$Q$78,11,FALSE)</f>
        <v>0</v>
      </c>
      <c r="Z33" s="14" t="str">
        <f>VLOOKUP(D33,'Obs Conc_1'!$C$23:$Q$78,12,FALSE)</f>
        <v>OOR &lt;</v>
      </c>
      <c r="AA33" s="15">
        <f>VLOOKUP(D33,'Obs Conc %CV_1'!$C$23:$Q$78,12,FALSE)</f>
        <v>0</v>
      </c>
      <c r="AB33" s="14" t="str">
        <f>VLOOKUP(D33,'Obs Conc_1'!$C$23:$Q$78,13,FALSE)</f>
        <v>OOR &lt;</v>
      </c>
      <c r="AC33" s="15">
        <f>VLOOKUP(D33,'Obs Conc %CV_1'!$C$23:$Q$78,13,FALSE)</f>
        <v>0</v>
      </c>
      <c r="AD33" s="14" t="str">
        <f>VLOOKUP(D33,'Obs Conc_1'!$C$23:$Q$78,14,FALSE)</f>
        <v>OOR &lt;</v>
      </c>
      <c r="AE33" s="15">
        <f>VLOOKUP(D33,'Obs Conc %CV_1'!$C$23:$Q$78,14,FALSE)</f>
        <v>0</v>
      </c>
      <c r="AF33" s="14" t="str">
        <f>VLOOKUP(D33,'Obs Conc_1'!$C$23:$Q$78,15,FALSE)</f>
        <v>OOR &lt;</v>
      </c>
      <c r="AG33" s="15">
        <f>VLOOKUP(D33,'Obs Conc %CV_1'!$C$23:$Q$78,15,FALSE)</f>
        <v>0</v>
      </c>
    </row>
    <row r="34" spans="1:33" x14ac:dyDescent="0.2">
      <c r="A34" s="2" t="s">
        <v>3</v>
      </c>
      <c r="B34" s="3" t="s">
        <v>35</v>
      </c>
      <c r="C34" s="2" t="s">
        <v>83</v>
      </c>
      <c r="D34" s="6" t="s">
        <v>152</v>
      </c>
      <c r="E34" s="12" t="s">
        <v>0</v>
      </c>
      <c r="F34" s="14" t="str">
        <f>VLOOKUP(D34,'Obs Conc_1'!$C$23:$Q$78,2,FALSE)</f>
        <v>OOR &lt;</v>
      </c>
      <c r="G34" s="15">
        <f>VLOOKUP(D34,'Obs Conc %CV_1'!$C$23:$Q$78,2,FALSE)</f>
        <v>0</v>
      </c>
      <c r="H34" s="14" t="str">
        <f>VLOOKUP(D34,'Obs Conc_1'!$C$23:$Q$78,3,FALSE)</f>
        <v>OOR &lt;</v>
      </c>
      <c r="I34" s="15">
        <f>VLOOKUP(D34,'Obs Conc %CV_1'!$C$23:$Q$78,3,FALSE)</f>
        <v>0</v>
      </c>
      <c r="J34" s="14" t="str">
        <f>VLOOKUP(D34,'Obs Conc_1'!$C$23:$Q$78,4,FALSE)</f>
        <v>OOR &lt;</v>
      </c>
      <c r="K34" s="15">
        <f>VLOOKUP(D34,'Obs Conc %CV_1'!$C$23:$Q$78,4,FALSE)</f>
        <v>0</v>
      </c>
      <c r="L34" s="14" t="str">
        <f>VLOOKUP(D34,'Obs Conc_1'!$C$23:$Q$78,5,FALSE)</f>
        <v>OOR &lt;</v>
      </c>
      <c r="M34" s="15">
        <f>VLOOKUP(D34,'Obs Conc %CV_1'!$C$23:$Q$78,5,FALSE)</f>
        <v>0</v>
      </c>
      <c r="N34" s="14">
        <f>VLOOKUP(D34,'Obs Conc_1'!$C$23:$Q$78,6,FALSE)</f>
        <v>9.36</v>
      </c>
      <c r="O34" s="15">
        <f>VLOOKUP(D34,'Obs Conc %CV_1'!$C$23:$Q$78,6,FALSE)</f>
        <v>0</v>
      </c>
      <c r="P34" s="14">
        <f>VLOOKUP(D34,'Obs Conc_1'!$C$23:$Q$78,7,FALSE)</f>
        <v>645.66999999999996</v>
      </c>
      <c r="Q34" s="15">
        <f>VLOOKUP(D34,'Obs Conc %CV_1'!$C$23:$Q$78,7,FALSE)</f>
        <v>0</v>
      </c>
      <c r="R34" s="14">
        <f>VLOOKUP(D34,'Obs Conc_1'!$C$23:$Q$78,8,FALSE)</f>
        <v>38.44</v>
      </c>
      <c r="S34" s="15">
        <f>VLOOKUP(D34,'Obs Conc %CV_1'!$C$23:$Q$78,8,FALSE)</f>
        <v>0</v>
      </c>
      <c r="T34" s="14">
        <f>VLOOKUP(D34,'Obs Conc_1'!$C$23:$Q$78,9,FALSE)</f>
        <v>22.74</v>
      </c>
      <c r="U34" s="15">
        <f>VLOOKUP(D34,'Obs Conc %CV_1'!$C$23:$Q$78,9,FALSE)</f>
        <v>0</v>
      </c>
      <c r="V34" s="14">
        <f>VLOOKUP(D34,'Obs Conc_1'!$C$23:$Q$78,10,FALSE)</f>
        <v>391.24</v>
      </c>
      <c r="W34" s="15">
        <f>VLOOKUP(D34,'Obs Conc %CV_1'!$C$23:$Q$78,10,FALSE)</f>
        <v>0</v>
      </c>
      <c r="X34" s="14" t="str">
        <f>VLOOKUP(D34,'Obs Conc_1'!$C$23:$Q$78,11,FALSE)</f>
        <v>OOR &lt;</v>
      </c>
      <c r="Y34" s="15">
        <f>VLOOKUP(D34,'Obs Conc %CV_1'!$C$23:$Q$78,11,FALSE)</f>
        <v>0</v>
      </c>
      <c r="Z34" s="14" t="str">
        <f>VLOOKUP(D34,'Obs Conc_1'!$C$23:$Q$78,12,FALSE)</f>
        <v>OOR &lt;</v>
      </c>
      <c r="AA34" s="15">
        <f>VLOOKUP(D34,'Obs Conc %CV_1'!$C$23:$Q$78,12,FALSE)</f>
        <v>0</v>
      </c>
      <c r="AB34" s="14" t="str">
        <f>VLOOKUP(D34,'Obs Conc_1'!$C$23:$Q$78,13,FALSE)</f>
        <v>OOR &lt;</v>
      </c>
      <c r="AC34" s="15">
        <f>VLOOKUP(D34,'Obs Conc %CV_1'!$C$23:$Q$78,13,FALSE)</f>
        <v>0</v>
      </c>
      <c r="AD34" s="14" t="str">
        <f>VLOOKUP(D34,'Obs Conc_1'!$C$23:$Q$78,14,FALSE)</f>
        <v>OOR &lt;</v>
      </c>
      <c r="AE34" s="15">
        <f>VLOOKUP(D34,'Obs Conc %CV_1'!$C$23:$Q$78,14,FALSE)</f>
        <v>0</v>
      </c>
      <c r="AF34" s="14" t="str">
        <f>VLOOKUP(D34,'Obs Conc_1'!$C$23:$Q$78,15,FALSE)</f>
        <v>OOR &lt;</v>
      </c>
      <c r="AG34" s="15">
        <f>VLOOKUP(D34,'Obs Conc %CV_1'!$C$23:$Q$78,15,FALSE)</f>
        <v>0</v>
      </c>
    </row>
    <row r="35" spans="1:33" x14ac:dyDescent="0.2">
      <c r="A35" s="2" t="s">
        <v>3</v>
      </c>
      <c r="B35" s="3" t="s">
        <v>35</v>
      </c>
      <c r="C35" s="2" t="s">
        <v>82</v>
      </c>
      <c r="D35" s="6" t="s">
        <v>153</v>
      </c>
      <c r="E35" s="12" t="s">
        <v>0</v>
      </c>
      <c r="F35" s="14" t="str">
        <f>VLOOKUP(D35,'Obs Conc_1'!$C$23:$Q$78,2,FALSE)</f>
        <v>OOR &lt;</v>
      </c>
      <c r="G35" s="15">
        <f>VLOOKUP(D35,'Obs Conc %CV_1'!$C$23:$Q$78,2,FALSE)</f>
        <v>0</v>
      </c>
      <c r="H35" s="14" t="str">
        <f>VLOOKUP(D35,'Obs Conc_1'!$C$23:$Q$78,3,FALSE)</f>
        <v>OOR &lt;</v>
      </c>
      <c r="I35" s="15">
        <f>VLOOKUP(D35,'Obs Conc %CV_1'!$C$23:$Q$78,3,FALSE)</f>
        <v>0</v>
      </c>
      <c r="J35" s="14" t="str">
        <f>VLOOKUP(D35,'Obs Conc_1'!$C$23:$Q$78,4,FALSE)</f>
        <v>OOR &lt;</v>
      </c>
      <c r="K35" s="15">
        <f>VLOOKUP(D35,'Obs Conc %CV_1'!$C$23:$Q$78,4,FALSE)</f>
        <v>0</v>
      </c>
      <c r="L35" s="14" t="str">
        <f>VLOOKUP(D35,'Obs Conc_1'!$C$23:$Q$78,5,FALSE)</f>
        <v>OOR &lt;</v>
      </c>
      <c r="M35" s="15">
        <f>VLOOKUP(D35,'Obs Conc %CV_1'!$C$23:$Q$78,5,FALSE)</f>
        <v>0</v>
      </c>
      <c r="N35" s="14" t="str">
        <f>VLOOKUP(D35,'Obs Conc_1'!$C$23:$Q$78,6,FALSE)</f>
        <v>OOR &lt;</v>
      </c>
      <c r="O35" s="15">
        <f>VLOOKUP(D35,'Obs Conc %CV_1'!$C$23:$Q$78,6,FALSE)</f>
        <v>0</v>
      </c>
      <c r="P35" s="14">
        <f>VLOOKUP(D35,'Obs Conc_1'!$C$23:$Q$78,7,FALSE)</f>
        <v>59.92</v>
      </c>
      <c r="Q35" s="15">
        <f>VLOOKUP(D35,'Obs Conc %CV_1'!$C$23:$Q$78,7,FALSE)</f>
        <v>0</v>
      </c>
      <c r="R35" s="14">
        <f>VLOOKUP(D35,'Obs Conc_1'!$C$23:$Q$78,8,FALSE)</f>
        <v>44.69</v>
      </c>
      <c r="S35" s="15">
        <f>VLOOKUP(D35,'Obs Conc %CV_1'!$C$23:$Q$78,8,FALSE)</f>
        <v>0</v>
      </c>
      <c r="T35" s="14">
        <f>VLOOKUP(D35,'Obs Conc_1'!$C$23:$Q$78,9,FALSE)</f>
        <v>18.989999999999998</v>
      </c>
      <c r="U35" s="15">
        <f>VLOOKUP(D35,'Obs Conc %CV_1'!$C$23:$Q$78,9,FALSE)</f>
        <v>0</v>
      </c>
      <c r="V35" s="14">
        <f>VLOOKUP(D35,'Obs Conc_1'!$C$23:$Q$78,10,FALSE)</f>
        <v>1411.33</v>
      </c>
      <c r="W35" s="15">
        <f>VLOOKUP(D35,'Obs Conc %CV_1'!$C$23:$Q$78,10,FALSE)</f>
        <v>0</v>
      </c>
      <c r="X35" s="14" t="str">
        <f>VLOOKUP(D35,'Obs Conc_1'!$C$23:$Q$78,11,FALSE)</f>
        <v>OOR &lt;</v>
      </c>
      <c r="Y35" s="15">
        <f>VLOOKUP(D35,'Obs Conc %CV_1'!$C$23:$Q$78,11,FALSE)</f>
        <v>0</v>
      </c>
      <c r="Z35" s="14" t="str">
        <f>VLOOKUP(D35,'Obs Conc_1'!$C$23:$Q$78,12,FALSE)</f>
        <v>OOR &lt;</v>
      </c>
      <c r="AA35" s="15">
        <f>VLOOKUP(D35,'Obs Conc %CV_1'!$C$23:$Q$78,12,FALSE)</f>
        <v>0</v>
      </c>
      <c r="AB35" s="14" t="str">
        <f>VLOOKUP(D35,'Obs Conc_1'!$C$23:$Q$78,13,FALSE)</f>
        <v>OOR &lt;</v>
      </c>
      <c r="AC35" s="15">
        <f>VLOOKUP(D35,'Obs Conc %CV_1'!$C$23:$Q$78,13,FALSE)</f>
        <v>0</v>
      </c>
      <c r="AD35" s="14" t="str">
        <f>VLOOKUP(D35,'Obs Conc_1'!$C$23:$Q$78,14,FALSE)</f>
        <v>OOR &lt;</v>
      </c>
      <c r="AE35" s="15">
        <f>VLOOKUP(D35,'Obs Conc %CV_1'!$C$23:$Q$78,14,FALSE)</f>
        <v>0</v>
      </c>
      <c r="AF35" s="14" t="str">
        <f>VLOOKUP(D35,'Obs Conc_1'!$C$23:$Q$78,15,FALSE)</f>
        <v>OOR &lt;</v>
      </c>
      <c r="AG35" s="15">
        <f>VLOOKUP(D35,'Obs Conc %CV_1'!$C$23:$Q$78,15,FALSE)</f>
        <v>0</v>
      </c>
    </row>
    <row r="36" spans="1:33" x14ac:dyDescent="0.2">
      <c r="A36" s="2" t="s">
        <v>3</v>
      </c>
      <c r="B36" s="3" t="s">
        <v>35</v>
      </c>
      <c r="C36" s="2" t="s">
        <v>81</v>
      </c>
      <c r="D36" s="6" t="s">
        <v>154</v>
      </c>
      <c r="E36" s="12" t="s">
        <v>0</v>
      </c>
      <c r="F36" s="14" t="str">
        <f>VLOOKUP(D36,'Obs Conc_1'!$C$23:$Q$78,2,FALSE)</f>
        <v>OOR &lt;</v>
      </c>
      <c r="G36" s="15">
        <f>VLOOKUP(D36,'Obs Conc %CV_1'!$C$23:$Q$78,2,FALSE)</f>
        <v>0</v>
      </c>
      <c r="H36" s="14" t="str">
        <f>VLOOKUP(D36,'Obs Conc_1'!$C$23:$Q$78,3,FALSE)</f>
        <v>OOR &lt;</v>
      </c>
      <c r="I36" s="15">
        <f>VLOOKUP(D36,'Obs Conc %CV_1'!$C$23:$Q$78,3,FALSE)</f>
        <v>0</v>
      </c>
      <c r="J36" s="14" t="str">
        <f>VLOOKUP(D36,'Obs Conc_1'!$C$23:$Q$78,4,FALSE)</f>
        <v>OOR &lt;</v>
      </c>
      <c r="K36" s="15">
        <f>VLOOKUP(D36,'Obs Conc %CV_1'!$C$23:$Q$78,4,FALSE)</f>
        <v>0</v>
      </c>
      <c r="L36" s="14" t="str">
        <f>VLOOKUP(D36,'Obs Conc_1'!$C$23:$Q$78,5,FALSE)</f>
        <v>OOR &lt;</v>
      </c>
      <c r="M36" s="15">
        <f>VLOOKUP(D36,'Obs Conc %CV_1'!$C$23:$Q$78,5,FALSE)</f>
        <v>0</v>
      </c>
      <c r="N36" s="14" t="str">
        <f>VLOOKUP(D36,'Obs Conc_1'!$C$23:$Q$78,6,FALSE)</f>
        <v>OOR &lt;</v>
      </c>
      <c r="O36" s="15">
        <f>VLOOKUP(D36,'Obs Conc %CV_1'!$C$23:$Q$78,6,FALSE)</f>
        <v>0</v>
      </c>
      <c r="P36" s="14">
        <f>VLOOKUP(D36,'Obs Conc_1'!$C$23:$Q$78,7,FALSE)</f>
        <v>32.46</v>
      </c>
      <c r="Q36" s="15">
        <f>VLOOKUP(D36,'Obs Conc %CV_1'!$C$23:$Q$78,7,FALSE)</f>
        <v>0</v>
      </c>
      <c r="R36" s="14">
        <f>VLOOKUP(D36,'Obs Conc_1'!$C$23:$Q$78,8,FALSE)</f>
        <v>9.42</v>
      </c>
      <c r="S36" s="15">
        <f>VLOOKUP(D36,'Obs Conc %CV_1'!$C$23:$Q$78,8,FALSE)</f>
        <v>0</v>
      </c>
      <c r="T36" s="14" t="str">
        <f>VLOOKUP(D36,'Obs Conc_1'!$C$23:$Q$78,9,FALSE)</f>
        <v>OOR &lt;</v>
      </c>
      <c r="U36" s="15">
        <f>VLOOKUP(D36,'Obs Conc %CV_1'!$C$23:$Q$78,9,FALSE)</f>
        <v>0</v>
      </c>
      <c r="V36" s="14">
        <f>VLOOKUP(D36,'Obs Conc_1'!$C$23:$Q$78,10,FALSE)</f>
        <v>1058.3800000000001</v>
      </c>
      <c r="W36" s="15">
        <f>VLOOKUP(D36,'Obs Conc %CV_1'!$C$23:$Q$78,10,FALSE)</f>
        <v>0</v>
      </c>
      <c r="X36" s="14" t="str">
        <f>VLOOKUP(D36,'Obs Conc_1'!$C$23:$Q$78,11,FALSE)</f>
        <v>OOR &lt;</v>
      </c>
      <c r="Y36" s="15">
        <f>VLOOKUP(D36,'Obs Conc %CV_1'!$C$23:$Q$78,11,FALSE)</f>
        <v>0</v>
      </c>
      <c r="Z36" s="14" t="str">
        <f>VLOOKUP(D36,'Obs Conc_1'!$C$23:$Q$78,12,FALSE)</f>
        <v>OOR &lt;</v>
      </c>
      <c r="AA36" s="15">
        <f>VLOOKUP(D36,'Obs Conc %CV_1'!$C$23:$Q$78,12,FALSE)</f>
        <v>0</v>
      </c>
      <c r="AB36" s="14" t="str">
        <f>VLOOKUP(D36,'Obs Conc_1'!$C$23:$Q$78,13,FALSE)</f>
        <v>OOR &lt;</v>
      </c>
      <c r="AC36" s="15">
        <f>VLOOKUP(D36,'Obs Conc %CV_1'!$C$23:$Q$78,13,FALSE)</f>
        <v>0</v>
      </c>
      <c r="AD36" s="14" t="str">
        <f>VLOOKUP(D36,'Obs Conc_1'!$C$23:$Q$78,14,FALSE)</f>
        <v>OOR &lt;</v>
      </c>
      <c r="AE36" s="15">
        <f>VLOOKUP(D36,'Obs Conc %CV_1'!$C$23:$Q$78,14,FALSE)</f>
        <v>0</v>
      </c>
      <c r="AF36" s="14" t="str">
        <f>VLOOKUP(D36,'Obs Conc_1'!$C$23:$Q$78,15,FALSE)</f>
        <v>OOR &lt;</v>
      </c>
      <c r="AG36" s="15">
        <f>VLOOKUP(D36,'Obs Conc %CV_1'!$C$23:$Q$78,15,FALSE)</f>
        <v>0</v>
      </c>
    </row>
    <row r="37" spans="1:33" x14ac:dyDescent="0.2">
      <c r="A37" s="2" t="s">
        <v>3</v>
      </c>
      <c r="B37" s="3" t="s">
        <v>35</v>
      </c>
      <c r="C37" s="2" t="s">
        <v>80</v>
      </c>
      <c r="D37" s="6" t="s">
        <v>155</v>
      </c>
      <c r="E37" s="12" t="s">
        <v>0</v>
      </c>
      <c r="F37" s="14" t="str">
        <f>VLOOKUP(D37,'Obs Conc_1'!$C$23:$Q$78,2,FALSE)</f>
        <v>OOR &lt;</v>
      </c>
      <c r="G37" s="15">
        <f>VLOOKUP(D37,'Obs Conc %CV_1'!$C$23:$Q$78,2,FALSE)</f>
        <v>0</v>
      </c>
      <c r="H37" s="14" t="str">
        <f>VLOOKUP(D37,'Obs Conc_1'!$C$23:$Q$78,3,FALSE)</f>
        <v>OOR &lt;</v>
      </c>
      <c r="I37" s="15">
        <f>VLOOKUP(D37,'Obs Conc %CV_1'!$C$23:$Q$78,3,FALSE)</f>
        <v>0</v>
      </c>
      <c r="J37" s="14" t="str">
        <f>VLOOKUP(D37,'Obs Conc_1'!$C$23:$Q$78,4,FALSE)</f>
        <v>OOR &lt;</v>
      </c>
      <c r="K37" s="15">
        <f>VLOOKUP(D37,'Obs Conc %CV_1'!$C$23:$Q$78,4,FALSE)</f>
        <v>0</v>
      </c>
      <c r="L37" s="14" t="str">
        <f>VLOOKUP(D37,'Obs Conc_1'!$C$23:$Q$78,5,FALSE)</f>
        <v>OOR &lt;</v>
      </c>
      <c r="M37" s="15">
        <f>VLOOKUP(D37,'Obs Conc %CV_1'!$C$23:$Q$78,5,FALSE)</f>
        <v>0</v>
      </c>
      <c r="N37" s="14" t="str">
        <f>VLOOKUP(D37,'Obs Conc_1'!$C$23:$Q$78,6,FALSE)</f>
        <v>*3.83</v>
      </c>
      <c r="O37" s="15">
        <f>VLOOKUP(D37,'Obs Conc %CV_1'!$C$23:$Q$78,6,FALSE)</f>
        <v>0</v>
      </c>
      <c r="P37" s="14" t="str">
        <f>VLOOKUP(D37,'Obs Conc_1'!$C$23:$Q$78,7,FALSE)</f>
        <v>OOR &lt;</v>
      </c>
      <c r="Q37" s="15">
        <f>VLOOKUP(D37,'Obs Conc %CV_1'!$C$23:$Q$78,7,FALSE)</f>
        <v>0</v>
      </c>
      <c r="R37" s="14" t="str">
        <f>VLOOKUP(D37,'Obs Conc_1'!$C$23:$Q$78,8,FALSE)</f>
        <v>*0.46</v>
      </c>
      <c r="S37" s="15">
        <f>VLOOKUP(D37,'Obs Conc %CV_1'!$C$23:$Q$78,8,FALSE)</f>
        <v>0</v>
      </c>
      <c r="T37" s="14" t="str">
        <f>VLOOKUP(D37,'Obs Conc_1'!$C$23:$Q$78,9,FALSE)</f>
        <v>OOR &lt;</v>
      </c>
      <c r="U37" s="15">
        <f>VLOOKUP(D37,'Obs Conc %CV_1'!$C$23:$Q$78,9,FALSE)</f>
        <v>0</v>
      </c>
      <c r="V37" s="14">
        <f>VLOOKUP(D37,'Obs Conc_1'!$C$23:$Q$78,10,FALSE)</f>
        <v>294.93</v>
      </c>
      <c r="W37" s="15">
        <f>VLOOKUP(D37,'Obs Conc %CV_1'!$C$23:$Q$78,10,FALSE)</f>
        <v>0</v>
      </c>
      <c r="X37" s="14" t="str">
        <f>VLOOKUP(D37,'Obs Conc_1'!$C$23:$Q$78,11,FALSE)</f>
        <v>OOR &lt;</v>
      </c>
      <c r="Y37" s="15">
        <f>VLOOKUP(D37,'Obs Conc %CV_1'!$C$23:$Q$78,11,FALSE)</f>
        <v>0</v>
      </c>
      <c r="Z37" s="14" t="str">
        <f>VLOOKUP(D37,'Obs Conc_1'!$C$23:$Q$78,12,FALSE)</f>
        <v>OOR &lt;</v>
      </c>
      <c r="AA37" s="15">
        <f>VLOOKUP(D37,'Obs Conc %CV_1'!$C$23:$Q$78,12,FALSE)</f>
        <v>0</v>
      </c>
      <c r="AB37" s="14" t="str">
        <f>VLOOKUP(D37,'Obs Conc_1'!$C$23:$Q$78,13,FALSE)</f>
        <v>OOR &lt;</v>
      </c>
      <c r="AC37" s="15">
        <f>VLOOKUP(D37,'Obs Conc %CV_1'!$C$23:$Q$78,13,FALSE)</f>
        <v>0</v>
      </c>
      <c r="AD37" s="14" t="str">
        <f>VLOOKUP(D37,'Obs Conc_1'!$C$23:$Q$78,14,FALSE)</f>
        <v>OOR &lt;</v>
      </c>
      <c r="AE37" s="15">
        <f>VLOOKUP(D37,'Obs Conc %CV_1'!$C$23:$Q$78,14,FALSE)</f>
        <v>0</v>
      </c>
      <c r="AF37" s="14" t="str">
        <f>VLOOKUP(D37,'Obs Conc_1'!$C$23:$Q$78,15,FALSE)</f>
        <v>OOR &lt;</v>
      </c>
      <c r="AG37" s="15">
        <f>VLOOKUP(D37,'Obs Conc %CV_1'!$C$23:$Q$78,15,FALSE)</f>
        <v>0</v>
      </c>
    </row>
    <row r="38" spans="1:33" x14ac:dyDescent="0.2">
      <c r="A38" s="2" t="s">
        <v>3</v>
      </c>
      <c r="B38" s="3" t="s">
        <v>35</v>
      </c>
      <c r="C38" s="2" t="s">
        <v>79</v>
      </c>
      <c r="D38" s="6" t="s">
        <v>156</v>
      </c>
      <c r="E38" s="12" t="s">
        <v>0</v>
      </c>
      <c r="F38" s="14" t="str">
        <f>VLOOKUP(D38,'Obs Conc_1'!$C$23:$Q$78,2,FALSE)</f>
        <v>OOR &lt;</v>
      </c>
      <c r="G38" s="15">
        <f>VLOOKUP(D38,'Obs Conc %CV_1'!$C$23:$Q$78,2,FALSE)</f>
        <v>0</v>
      </c>
      <c r="H38" s="14" t="str">
        <f>VLOOKUP(D38,'Obs Conc_1'!$C$23:$Q$78,3,FALSE)</f>
        <v>OOR &lt;</v>
      </c>
      <c r="I38" s="15">
        <f>VLOOKUP(D38,'Obs Conc %CV_1'!$C$23:$Q$78,3,FALSE)</f>
        <v>0</v>
      </c>
      <c r="J38" s="14" t="str">
        <f>VLOOKUP(D38,'Obs Conc_1'!$C$23:$Q$78,4,FALSE)</f>
        <v>OOR &lt;</v>
      </c>
      <c r="K38" s="15">
        <f>VLOOKUP(D38,'Obs Conc %CV_1'!$C$23:$Q$78,4,FALSE)</f>
        <v>0</v>
      </c>
      <c r="L38" s="14" t="str">
        <f>VLOOKUP(D38,'Obs Conc_1'!$C$23:$Q$78,5,FALSE)</f>
        <v>OOR &lt;</v>
      </c>
      <c r="M38" s="15">
        <f>VLOOKUP(D38,'Obs Conc %CV_1'!$C$23:$Q$78,5,FALSE)</f>
        <v>0</v>
      </c>
      <c r="N38" s="14" t="str">
        <f>VLOOKUP(D38,'Obs Conc_1'!$C$23:$Q$78,6,FALSE)</f>
        <v>OOR &lt;</v>
      </c>
      <c r="O38" s="15">
        <f>VLOOKUP(D38,'Obs Conc %CV_1'!$C$23:$Q$78,6,FALSE)</f>
        <v>0</v>
      </c>
      <c r="P38" s="14">
        <f>VLOOKUP(D38,'Obs Conc_1'!$C$23:$Q$78,7,FALSE)</f>
        <v>36.630000000000003</v>
      </c>
      <c r="Q38" s="15">
        <f>VLOOKUP(D38,'Obs Conc %CV_1'!$C$23:$Q$78,7,FALSE)</f>
        <v>0</v>
      </c>
      <c r="R38" s="14">
        <f>VLOOKUP(D38,'Obs Conc_1'!$C$23:$Q$78,8,FALSE)</f>
        <v>12.03</v>
      </c>
      <c r="S38" s="15">
        <f>VLOOKUP(D38,'Obs Conc %CV_1'!$C$23:$Q$78,8,FALSE)</f>
        <v>0</v>
      </c>
      <c r="T38" s="14" t="str">
        <f>VLOOKUP(D38,'Obs Conc_1'!$C$23:$Q$78,9,FALSE)</f>
        <v>OOR &lt;</v>
      </c>
      <c r="U38" s="15">
        <f>VLOOKUP(D38,'Obs Conc %CV_1'!$C$23:$Q$78,9,FALSE)</f>
        <v>0</v>
      </c>
      <c r="V38" s="14">
        <f>VLOOKUP(D38,'Obs Conc_1'!$C$23:$Q$78,10,FALSE)</f>
        <v>362.9</v>
      </c>
      <c r="W38" s="15">
        <f>VLOOKUP(D38,'Obs Conc %CV_1'!$C$23:$Q$78,10,FALSE)</f>
        <v>0</v>
      </c>
      <c r="X38" s="14" t="str">
        <f>VLOOKUP(D38,'Obs Conc_1'!$C$23:$Q$78,11,FALSE)</f>
        <v>OOR &lt;</v>
      </c>
      <c r="Y38" s="15">
        <f>VLOOKUP(D38,'Obs Conc %CV_1'!$C$23:$Q$78,11,FALSE)</f>
        <v>0</v>
      </c>
      <c r="Z38" s="14" t="str">
        <f>VLOOKUP(D38,'Obs Conc_1'!$C$23:$Q$78,12,FALSE)</f>
        <v>OOR &lt;</v>
      </c>
      <c r="AA38" s="15">
        <f>VLOOKUP(D38,'Obs Conc %CV_1'!$C$23:$Q$78,12,FALSE)</f>
        <v>0</v>
      </c>
      <c r="AB38" s="14" t="str">
        <f>VLOOKUP(D38,'Obs Conc_1'!$C$23:$Q$78,13,FALSE)</f>
        <v>OOR &lt;</v>
      </c>
      <c r="AC38" s="15">
        <f>VLOOKUP(D38,'Obs Conc %CV_1'!$C$23:$Q$78,13,FALSE)</f>
        <v>0</v>
      </c>
      <c r="AD38" s="14" t="str">
        <f>VLOOKUP(D38,'Obs Conc_1'!$C$23:$Q$78,14,FALSE)</f>
        <v>OOR &lt;</v>
      </c>
      <c r="AE38" s="15">
        <f>VLOOKUP(D38,'Obs Conc %CV_1'!$C$23:$Q$78,14,FALSE)</f>
        <v>0</v>
      </c>
      <c r="AF38" s="14" t="str">
        <f>VLOOKUP(D38,'Obs Conc_1'!$C$23:$Q$78,15,FALSE)</f>
        <v>OOR &lt;</v>
      </c>
      <c r="AG38" s="15">
        <f>VLOOKUP(D38,'Obs Conc %CV_1'!$C$23:$Q$78,15,FALSE)</f>
        <v>0</v>
      </c>
    </row>
    <row r="39" spans="1:33" x14ac:dyDescent="0.2">
      <c r="A39" s="2" t="s">
        <v>3</v>
      </c>
      <c r="B39" s="3" t="s">
        <v>35</v>
      </c>
      <c r="C39" s="2" t="s">
        <v>78</v>
      </c>
      <c r="D39" s="6" t="s">
        <v>157</v>
      </c>
      <c r="E39" s="12" t="s">
        <v>0</v>
      </c>
      <c r="F39" s="14" t="str">
        <f>VLOOKUP(D39,'Obs Conc_1'!$C$23:$Q$78,2,FALSE)</f>
        <v>OOR &lt;</v>
      </c>
      <c r="G39" s="15">
        <f>VLOOKUP(D39,'Obs Conc %CV_1'!$C$23:$Q$78,2,FALSE)</f>
        <v>0</v>
      </c>
      <c r="H39" s="14" t="str">
        <f>VLOOKUP(D39,'Obs Conc_1'!$C$23:$Q$78,3,FALSE)</f>
        <v>OOR &lt;</v>
      </c>
      <c r="I39" s="15">
        <f>VLOOKUP(D39,'Obs Conc %CV_1'!$C$23:$Q$78,3,FALSE)</f>
        <v>0</v>
      </c>
      <c r="J39" s="14" t="str">
        <f>VLOOKUP(D39,'Obs Conc_1'!$C$23:$Q$78,4,FALSE)</f>
        <v>OOR &lt;</v>
      </c>
      <c r="K39" s="15">
        <f>VLOOKUP(D39,'Obs Conc %CV_1'!$C$23:$Q$78,4,FALSE)</f>
        <v>0</v>
      </c>
      <c r="L39" s="14" t="str">
        <f>VLOOKUP(D39,'Obs Conc_1'!$C$23:$Q$78,5,FALSE)</f>
        <v>OOR &lt;</v>
      </c>
      <c r="M39" s="15">
        <f>VLOOKUP(D39,'Obs Conc %CV_1'!$C$23:$Q$78,5,FALSE)</f>
        <v>0</v>
      </c>
      <c r="N39" s="14" t="str">
        <f>VLOOKUP(D39,'Obs Conc_1'!$C$23:$Q$78,6,FALSE)</f>
        <v>*3.83</v>
      </c>
      <c r="O39" s="15">
        <f>VLOOKUP(D39,'Obs Conc %CV_1'!$C$23:$Q$78,6,FALSE)</f>
        <v>0</v>
      </c>
      <c r="P39" s="14">
        <f>VLOOKUP(D39,'Obs Conc_1'!$C$23:$Q$78,7,FALSE)</f>
        <v>183.71</v>
      </c>
      <c r="Q39" s="15">
        <f>VLOOKUP(D39,'Obs Conc %CV_1'!$C$23:$Q$78,7,FALSE)</f>
        <v>0</v>
      </c>
      <c r="R39" s="14">
        <f>VLOOKUP(D39,'Obs Conc_1'!$C$23:$Q$78,8,FALSE)</f>
        <v>14.13</v>
      </c>
      <c r="S39" s="15">
        <f>VLOOKUP(D39,'Obs Conc %CV_1'!$C$23:$Q$78,8,FALSE)</f>
        <v>0</v>
      </c>
      <c r="T39" s="14" t="str">
        <f>VLOOKUP(D39,'Obs Conc_1'!$C$23:$Q$78,9,FALSE)</f>
        <v>*0.07</v>
      </c>
      <c r="U39" s="15">
        <f>VLOOKUP(D39,'Obs Conc %CV_1'!$C$23:$Q$78,9,FALSE)</f>
        <v>0</v>
      </c>
      <c r="V39" s="14">
        <f>VLOOKUP(D39,'Obs Conc_1'!$C$23:$Q$78,10,FALSE)</f>
        <v>290.2</v>
      </c>
      <c r="W39" s="15">
        <f>VLOOKUP(D39,'Obs Conc %CV_1'!$C$23:$Q$78,10,FALSE)</f>
        <v>0</v>
      </c>
      <c r="X39" s="14" t="str">
        <f>VLOOKUP(D39,'Obs Conc_1'!$C$23:$Q$78,11,FALSE)</f>
        <v>OOR &lt;</v>
      </c>
      <c r="Y39" s="15">
        <f>VLOOKUP(D39,'Obs Conc %CV_1'!$C$23:$Q$78,11,FALSE)</f>
        <v>0</v>
      </c>
      <c r="Z39" s="14" t="str">
        <f>VLOOKUP(D39,'Obs Conc_1'!$C$23:$Q$78,12,FALSE)</f>
        <v>OOR &lt;</v>
      </c>
      <c r="AA39" s="15">
        <f>VLOOKUP(D39,'Obs Conc %CV_1'!$C$23:$Q$78,12,FALSE)</f>
        <v>0</v>
      </c>
      <c r="AB39" s="14" t="str">
        <f>VLOOKUP(D39,'Obs Conc_1'!$C$23:$Q$78,13,FALSE)</f>
        <v>OOR &lt;</v>
      </c>
      <c r="AC39" s="15">
        <f>VLOOKUP(D39,'Obs Conc %CV_1'!$C$23:$Q$78,13,FALSE)</f>
        <v>0</v>
      </c>
      <c r="AD39" s="14" t="str">
        <f>VLOOKUP(D39,'Obs Conc_1'!$C$23:$Q$78,14,FALSE)</f>
        <v>OOR &lt;</v>
      </c>
      <c r="AE39" s="15">
        <f>VLOOKUP(D39,'Obs Conc %CV_1'!$C$23:$Q$78,14,FALSE)</f>
        <v>0</v>
      </c>
      <c r="AF39" s="14" t="str">
        <f>VLOOKUP(D39,'Obs Conc_1'!$C$23:$Q$78,15,FALSE)</f>
        <v>OOR &lt;</v>
      </c>
      <c r="AG39" s="15">
        <f>VLOOKUP(D39,'Obs Conc %CV_1'!$C$23:$Q$78,15,FALSE)</f>
        <v>0</v>
      </c>
    </row>
    <row r="40" spans="1:33" x14ac:dyDescent="0.2">
      <c r="A40" s="2" t="s">
        <v>3</v>
      </c>
      <c r="B40" s="3" t="s">
        <v>35</v>
      </c>
      <c r="C40" s="2" t="s">
        <v>77</v>
      </c>
      <c r="D40" s="6" t="s">
        <v>158</v>
      </c>
      <c r="E40" s="12" t="s">
        <v>0</v>
      </c>
      <c r="F40" s="14" t="str">
        <f>VLOOKUP(D40,'Obs Conc_1'!$C$23:$Q$78,2,FALSE)</f>
        <v>OOR &lt;</v>
      </c>
      <c r="G40" s="15">
        <f>VLOOKUP(D40,'Obs Conc %CV_1'!$C$23:$Q$78,2,FALSE)</f>
        <v>0</v>
      </c>
      <c r="H40" s="14" t="str">
        <f>VLOOKUP(D40,'Obs Conc_1'!$C$23:$Q$78,3,FALSE)</f>
        <v>OOR &lt;</v>
      </c>
      <c r="I40" s="15">
        <f>VLOOKUP(D40,'Obs Conc %CV_1'!$C$23:$Q$78,3,FALSE)</f>
        <v>0</v>
      </c>
      <c r="J40" s="14" t="str">
        <f>VLOOKUP(D40,'Obs Conc_1'!$C$23:$Q$78,4,FALSE)</f>
        <v>OOR &lt;</v>
      </c>
      <c r="K40" s="15">
        <f>VLOOKUP(D40,'Obs Conc %CV_1'!$C$23:$Q$78,4,FALSE)</f>
        <v>0</v>
      </c>
      <c r="L40" s="14" t="str">
        <f>VLOOKUP(D40,'Obs Conc_1'!$C$23:$Q$78,5,FALSE)</f>
        <v>OOR &lt;</v>
      </c>
      <c r="M40" s="15">
        <f>VLOOKUP(D40,'Obs Conc %CV_1'!$C$23:$Q$78,5,FALSE)</f>
        <v>0</v>
      </c>
      <c r="N40" s="14" t="str">
        <f>VLOOKUP(D40,'Obs Conc_1'!$C$23:$Q$78,6,FALSE)</f>
        <v>OOR &lt;</v>
      </c>
      <c r="O40" s="15">
        <f>VLOOKUP(D40,'Obs Conc %CV_1'!$C$23:$Q$78,6,FALSE)</f>
        <v>0</v>
      </c>
      <c r="P40" s="14">
        <f>VLOOKUP(D40,'Obs Conc_1'!$C$23:$Q$78,7,FALSE)</f>
        <v>63.78</v>
      </c>
      <c r="Q40" s="15">
        <f>VLOOKUP(D40,'Obs Conc %CV_1'!$C$23:$Q$78,7,FALSE)</f>
        <v>0</v>
      </c>
      <c r="R40" s="14">
        <f>VLOOKUP(D40,'Obs Conc_1'!$C$23:$Q$78,8,FALSE)</f>
        <v>23.43</v>
      </c>
      <c r="S40" s="15">
        <f>VLOOKUP(D40,'Obs Conc %CV_1'!$C$23:$Q$78,8,FALSE)</f>
        <v>0</v>
      </c>
      <c r="T40" s="14" t="str">
        <f>VLOOKUP(D40,'Obs Conc_1'!$C$23:$Q$78,9,FALSE)</f>
        <v>*0.74</v>
      </c>
      <c r="U40" s="15">
        <f>VLOOKUP(D40,'Obs Conc %CV_1'!$C$23:$Q$78,9,FALSE)</f>
        <v>0</v>
      </c>
      <c r="V40" s="14">
        <f>VLOOKUP(D40,'Obs Conc_1'!$C$23:$Q$78,10,FALSE)</f>
        <v>646.19000000000005</v>
      </c>
      <c r="W40" s="15">
        <f>VLOOKUP(D40,'Obs Conc %CV_1'!$C$23:$Q$78,10,FALSE)</f>
        <v>0</v>
      </c>
      <c r="X40" s="14" t="str">
        <f>VLOOKUP(D40,'Obs Conc_1'!$C$23:$Q$78,11,FALSE)</f>
        <v>OOR &lt;</v>
      </c>
      <c r="Y40" s="15">
        <f>VLOOKUP(D40,'Obs Conc %CV_1'!$C$23:$Q$78,11,FALSE)</f>
        <v>0</v>
      </c>
      <c r="Z40" s="14" t="str">
        <f>VLOOKUP(D40,'Obs Conc_1'!$C$23:$Q$78,12,FALSE)</f>
        <v>OOR &lt;</v>
      </c>
      <c r="AA40" s="15">
        <f>VLOOKUP(D40,'Obs Conc %CV_1'!$C$23:$Q$78,12,FALSE)</f>
        <v>0</v>
      </c>
      <c r="AB40" s="14" t="str">
        <f>VLOOKUP(D40,'Obs Conc_1'!$C$23:$Q$78,13,FALSE)</f>
        <v>OOR &lt;</v>
      </c>
      <c r="AC40" s="15">
        <f>VLOOKUP(D40,'Obs Conc %CV_1'!$C$23:$Q$78,13,FALSE)</f>
        <v>0</v>
      </c>
      <c r="AD40" s="14" t="str">
        <f>VLOOKUP(D40,'Obs Conc_1'!$C$23:$Q$78,14,FALSE)</f>
        <v>OOR &lt;</v>
      </c>
      <c r="AE40" s="15">
        <f>VLOOKUP(D40,'Obs Conc %CV_1'!$C$23:$Q$78,14,FALSE)</f>
        <v>0</v>
      </c>
      <c r="AF40" s="14" t="str">
        <f>VLOOKUP(D40,'Obs Conc_1'!$C$23:$Q$78,15,FALSE)</f>
        <v>OOR &lt;</v>
      </c>
      <c r="AG40" s="15">
        <f>VLOOKUP(D40,'Obs Conc %CV_1'!$C$23:$Q$78,15,FALSE)</f>
        <v>0</v>
      </c>
    </row>
    <row r="41" spans="1:33" x14ac:dyDescent="0.2">
      <c r="A41" s="2" t="s">
        <v>3</v>
      </c>
      <c r="B41" s="3" t="s">
        <v>35</v>
      </c>
      <c r="C41" s="2" t="s">
        <v>76</v>
      </c>
      <c r="D41" s="6" t="s">
        <v>159</v>
      </c>
      <c r="E41" s="12" t="s">
        <v>0</v>
      </c>
      <c r="F41" s="14" t="str">
        <f>VLOOKUP(D41,'Obs Conc_1'!$C$23:$Q$78,2,FALSE)</f>
        <v>OOR &lt;</v>
      </c>
      <c r="G41" s="15">
        <f>VLOOKUP(D41,'Obs Conc %CV_1'!$C$23:$Q$78,2,FALSE)</f>
        <v>0</v>
      </c>
      <c r="H41" s="14" t="str">
        <f>VLOOKUP(D41,'Obs Conc_1'!$C$23:$Q$78,3,FALSE)</f>
        <v>OOR &lt;</v>
      </c>
      <c r="I41" s="15">
        <f>VLOOKUP(D41,'Obs Conc %CV_1'!$C$23:$Q$78,3,FALSE)</f>
        <v>0</v>
      </c>
      <c r="J41" s="14" t="str">
        <f>VLOOKUP(D41,'Obs Conc_1'!$C$23:$Q$78,4,FALSE)</f>
        <v>OOR &lt;</v>
      </c>
      <c r="K41" s="15">
        <f>VLOOKUP(D41,'Obs Conc %CV_1'!$C$23:$Q$78,4,FALSE)</f>
        <v>0</v>
      </c>
      <c r="L41" s="14" t="str">
        <f>VLOOKUP(D41,'Obs Conc_1'!$C$23:$Q$78,5,FALSE)</f>
        <v>OOR &lt;</v>
      </c>
      <c r="M41" s="15">
        <f>VLOOKUP(D41,'Obs Conc %CV_1'!$C$23:$Q$78,5,FALSE)</f>
        <v>0</v>
      </c>
      <c r="N41" s="14" t="str">
        <f>VLOOKUP(D41,'Obs Conc_1'!$C$23:$Q$78,6,FALSE)</f>
        <v>*3.83</v>
      </c>
      <c r="O41" s="15">
        <f>VLOOKUP(D41,'Obs Conc %CV_1'!$C$23:$Q$78,6,FALSE)</f>
        <v>0</v>
      </c>
      <c r="P41" s="14">
        <f>VLOOKUP(D41,'Obs Conc_1'!$C$23:$Q$78,7,FALSE)</f>
        <v>591.79</v>
      </c>
      <c r="Q41" s="15">
        <f>VLOOKUP(D41,'Obs Conc %CV_1'!$C$23:$Q$78,7,FALSE)</f>
        <v>0</v>
      </c>
      <c r="R41" s="14">
        <f>VLOOKUP(D41,'Obs Conc_1'!$C$23:$Q$78,8,FALSE)</f>
        <v>152.01</v>
      </c>
      <c r="S41" s="15">
        <f>VLOOKUP(D41,'Obs Conc %CV_1'!$C$23:$Q$78,8,FALSE)</f>
        <v>0</v>
      </c>
      <c r="T41" s="14">
        <f>VLOOKUP(D41,'Obs Conc_1'!$C$23:$Q$78,9,FALSE)</f>
        <v>320.95</v>
      </c>
      <c r="U41" s="15">
        <f>VLOOKUP(D41,'Obs Conc %CV_1'!$C$23:$Q$78,9,FALSE)</f>
        <v>0</v>
      </c>
      <c r="V41" s="14">
        <f>VLOOKUP(D41,'Obs Conc_1'!$C$23:$Q$78,10,FALSE)</f>
        <v>2976.73</v>
      </c>
      <c r="W41" s="15">
        <f>VLOOKUP(D41,'Obs Conc %CV_1'!$C$23:$Q$78,10,FALSE)</f>
        <v>0</v>
      </c>
      <c r="X41" s="14" t="str">
        <f>VLOOKUP(D41,'Obs Conc_1'!$C$23:$Q$78,11,FALSE)</f>
        <v>OOR &lt;</v>
      </c>
      <c r="Y41" s="15">
        <f>VLOOKUP(D41,'Obs Conc %CV_1'!$C$23:$Q$78,11,FALSE)</f>
        <v>0</v>
      </c>
      <c r="Z41" s="14" t="str">
        <f>VLOOKUP(D41,'Obs Conc_1'!$C$23:$Q$78,12,FALSE)</f>
        <v>OOR &lt;</v>
      </c>
      <c r="AA41" s="15">
        <f>VLOOKUP(D41,'Obs Conc %CV_1'!$C$23:$Q$78,12,FALSE)</f>
        <v>0</v>
      </c>
      <c r="AB41" s="14" t="str">
        <f>VLOOKUP(D41,'Obs Conc_1'!$C$23:$Q$78,13,FALSE)</f>
        <v>OOR &lt;</v>
      </c>
      <c r="AC41" s="15">
        <f>VLOOKUP(D41,'Obs Conc %CV_1'!$C$23:$Q$78,13,FALSE)</f>
        <v>0</v>
      </c>
      <c r="AD41" s="14" t="str">
        <f>VLOOKUP(D41,'Obs Conc_1'!$C$23:$Q$78,14,FALSE)</f>
        <v>OOR &lt;</v>
      </c>
      <c r="AE41" s="15">
        <f>VLOOKUP(D41,'Obs Conc %CV_1'!$C$23:$Q$78,14,FALSE)</f>
        <v>0</v>
      </c>
      <c r="AF41" s="14" t="str">
        <f>VLOOKUP(D41,'Obs Conc_1'!$C$23:$Q$78,15,FALSE)</f>
        <v>OOR &lt;</v>
      </c>
      <c r="AG41" s="15">
        <f>VLOOKUP(D41,'Obs Conc %CV_1'!$C$23:$Q$78,15,FALSE)</f>
        <v>0</v>
      </c>
    </row>
    <row r="42" spans="1:33" x14ac:dyDescent="0.2">
      <c r="A42" s="2" t="s">
        <v>3</v>
      </c>
      <c r="B42" s="3" t="s">
        <v>35</v>
      </c>
      <c r="C42" s="2" t="s">
        <v>75</v>
      </c>
      <c r="D42" s="6" t="s">
        <v>160</v>
      </c>
      <c r="E42" s="12" t="s">
        <v>0</v>
      </c>
      <c r="F42" s="14" t="str">
        <f>VLOOKUP(D42,'Obs Conc_1'!$C$23:$Q$78,2,FALSE)</f>
        <v>OOR &lt;</v>
      </c>
      <c r="G42" s="15">
        <f>VLOOKUP(D42,'Obs Conc %CV_1'!$C$23:$Q$78,2,FALSE)</f>
        <v>0</v>
      </c>
      <c r="H42" s="14" t="str">
        <f>VLOOKUP(D42,'Obs Conc_1'!$C$23:$Q$78,3,FALSE)</f>
        <v>OOR &lt;</v>
      </c>
      <c r="I42" s="15">
        <f>VLOOKUP(D42,'Obs Conc %CV_1'!$C$23:$Q$78,3,FALSE)</f>
        <v>0</v>
      </c>
      <c r="J42" s="14" t="str">
        <f>VLOOKUP(D42,'Obs Conc_1'!$C$23:$Q$78,4,FALSE)</f>
        <v>OOR &lt;</v>
      </c>
      <c r="K42" s="15">
        <f>VLOOKUP(D42,'Obs Conc %CV_1'!$C$23:$Q$78,4,FALSE)</f>
        <v>0</v>
      </c>
      <c r="L42" s="14" t="str">
        <f>VLOOKUP(D42,'Obs Conc_1'!$C$23:$Q$78,5,FALSE)</f>
        <v>OOR &lt;</v>
      </c>
      <c r="M42" s="15">
        <f>VLOOKUP(D42,'Obs Conc %CV_1'!$C$23:$Q$78,5,FALSE)</f>
        <v>0</v>
      </c>
      <c r="N42" s="14" t="str">
        <f>VLOOKUP(D42,'Obs Conc_1'!$C$23:$Q$78,6,FALSE)</f>
        <v>*1.21</v>
      </c>
      <c r="O42" s="15">
        <f>VLOOKUP(D42,'Obs Conc %CV_1'!$C$23:$Q$78,6,FALSE)</f>
        <v>0</v>
      </c>
      <c r="P42" s="14">
        <f>VLOOKUP(D42,'Obs Conc_1'!$C$23:$Q$78,7,FALSE)</f>
        <v>17.2</v>
      </c>
      <c r="Q42" s="15">
        <f>VLOOKUP(D42,'Obs Conc %CV_1'!$C$23:$Q$78,7,FALSE)</f>
        <v>0</v>
      </c>
      <c r="R42" s="14">
        <f>VLOOKUP(D42,'Obs Conc_1'!$C$23:$Q$78,8,FALSE)</f>
        <v>17.510000000000002</v>
      </c>
      <c r="S42" s="15">
        <f>VLOOKUP(D42,'Obs Conc %CV_1'!$C$23:$Q$78,8,FALSE)</f>
        <v>0</v>
      </c>
      <c r="T42" s="14">
        <f>VLOOKUP(D42,'Obs Conc_1'!$C$23:$Q$78,9,FALSE)</f>
        <v>3.88</v>
      </c>
      <c r="U42" s="15">
        <f>VLOOKUP(D42,'Obs Conc %CV_1'!$C$23:$Q$78,9,FALSE)</f>
        <v>0</v>
      </c>
      <c r="V42" s="14">
        <f>VLOOKUP(D42,'Obs Conc_1'!$C$23:$Q$78,10,FALSE)</f>
        <v>867.75</v>
      </c>
      <c r="W42" s="15">
        <f>VLOOKUP(D42,'Obs Conc %CV_1'!$C$23:$Q$78,10,FALSE)</f>
        <v>0</v>
      </c>
      <c r="X42" s="14" t="str">
        <f>VLOOKUP(D42,'Obs Conc_1'!$C$23:$Q$78,11,FALSE)</f>
        <v>OOR &lt;</v>
      </c>
      <c r="Y42" s="15">
        <f>VLOOKUP(D42,'Obs Conc %CV_1'!$C$23:$Q$78,11,FALSE)</f>
        <v>0</v>
      </c>
      <c r="Z42" s="14" t="str">
        <f>VLOOKUP(D42,'Obs Conc_1'!$C$23:$Q$78,12,FALSE)</f>
        <v>OOR &lt;</v>
      </c>
      <c r="AA42" s="15">
        <f>VLOOKUP(D42,'Obs Conc %CV_1'!$C$23:$Q$78,12,FALSE)</f>
        <v>0</v>
      </c>
      <c r="AB42" s="14" t="str">
        <f>VLOOKUP(D42,'Obs Conc_1'!$C$23:$Q$78,13,FALSE)</f>
        <v>OOR &lt;</v>
      </c>
      <c r="AC42" s="15">
        <f>VLOOKUP(D42,'Obs Conc %CV_1'!$C$23:$Q$78,13,FALSE)</f>
        <v>0</v>
      </c>
      <c r="AD42" s="14" t="str">
        <f>VLOOKUP(D42,'Obs Conc_1'!$C$23:$Q$78,14,FALSE)</f>
        <v>OOR &lt;</v>
      </c>
      <c r="AE42" s="15">
        <f>VLOOKUP(D42,'Obs Conc %CV_1'!$C$23:$Q$78,14,FALSE)</f>
        <v>0</v>
      </c>
      <c r="AF42" s="14" t="str">
        <f>VLOOKUP(D42,'Obs Conc_1'!$C$23:$Q$78,15,FALSE)</f>
        <v>OOR &lt;</v>
      </c>
      <c r="AG42" s="15">
        <f>VLOOKUP(D42,'Obs Conc %CV_1'!$C$23:$Q$78,15,FALSE)</f>
        <v>0</v>
      </c>
    </row>
    <row r="43" spans="1:33" x14ac:dyDescent="0.2">
      <c r="A43" s="2" t="s">
        <v>3</v>
      </c>
      <c r="B43" s="3" t="s">
        <v>35</v>
      </c>
      <c r="C43" s="2" t="s">
        <v>74</v>
      </c>
      <c r="D43" s="6" t="s">
        <v>161</v>
      </c>
      <c r="E43" s="12" t="s">
        <v>0</v>
      </c>
      <c r="F43" s="14" t="str">
        <f>VLOOKUP(D43,'Obs Conc_1'!$C$23:$Q$78,2,FALSE)</f>
        <v>OOR &lt;</v>
      </c>
      <c r="G43" s="15">
        <f>VLOOKUP(D43,'Obs Conc %CV_1'!$C$23:$Q$78,2,FALSE)</f>
        <v>0</v>
      </c>
      <c r="H43" s="14" t="str">
        <f>VLOOKUP(D43,'Obs Conc_1'!$C$23:$Q$78,3,FALSE)</f>
        <v>OOR &lt;</v>
      </c>
      <c r="I43" s="15">
        <f>VLOOKUP(D43,'Obs Conc %CV_1'!$C$23:$Q$78,3,FALSE)</f>
        <v>0</v>
      </c>
      <c r="J43" s="14" t="str">
        <f>VLOOKUP(D43,'Obs Conc_1'!$C$23:$Q$78,4,FALSE)</f>
        <v>OOR &lt;</v>
      </c>
      <c r="K43" s="15">
        <f>VLOOKUP(D43,'Obs Conc %CV_1'!$C$23:$Q$78,4,FALSE)</f>
        <v>0</v>
      </c>
      <c r="L43" s="14" t="str">
        <f>VLOOKUP(D43,'Obs Conc_1'!$C$23:$Q$78,5,FALSE)</f>
        <v>OOR &lt;</v>
      </c>
      <c r="M43" s="15">
        <f>VLOOKUP(D43,'Obs Conc %CV_1'!$C$23:$Q$78,5,FALSE)</f>
        <v>0</v>
      </c>
      <c r="N43" s="14">
        <f>VLOOKUP(D43,'Obs Conc_1'!$C$23:$Q$78,6,FALSE)</f>
        <v>9.36</v>
      </c>
      <c r="O43" s="15">
        <f>VLOOKUP(D43,'Obs Conc %CV_1'!$C$23:$Q$78,6,FALSE)</f>
        <v>0</v>
      </c>
      <c r="P43" s="14">
        <f>VLOOKUP(D43,'Obs Conc_1'!$C$23:$Q$78,7,FALSE)</f>
        <v>91.91</v>
      </c>
      <c r="Q43" s="15">
        <f>VLOOKUP(D43,'Obs Conc %CV_1'!$C$23:$Q$78,7,FALSE)</f>
        <v>0</v>
      </c>
      <c r="R43" s="14">
        <f>VLOOKUP(D43,'Obs Conc_1'!$C$23:$Q$78,8,FALSE)</f>
        <v>21.35</v>
      </c>
      <c r="S43" s="15">
        <f>VLOOKUP(D43,'Obs Conc %CV_1'!$C$23:$Q$78,8,FALSE)</f>
        <v>0</v>
      </c>
      <c r="T43" s="14">
        <f>VLOOKUP(D43,'Obs Conc_1'!$C$23:$Q$78,9,FALSE)</f>
        <v>2.52</v>
      </c>
      <c r="U43" s="15">
        <f>VLOOKUP(D43,'Obs Conc %CV_1'!$C$23:$Q$78,9,FALSE)</f>
        <v>0</v>
      </c>
      <c r="V43" s="14">
        <f>VLOOKUP(D43,'Obs Conc_1'!$C$23:$Q$78,10,FALSE)</f>
        <v>415.83</v>
      </c>
      <c r="W43" s="15">
        <f>VLOOKUP(D43,'Obs Conc %CV_1'!$C$23:$Q$78,10,FALSE)</f>
        <v>0</v>
      </c>
      <c r="X43" s="14" t="str">
        <f>VLOOKUP(D43,'Obs Conc_1'!$C$23:$Q$78,11,FALSE)</f>
        <v>OOR &lt;</v>
      </c>
      <c r="Y43" s="15">
        <f>VLOOKUP(D43,'Obs Conc %CV_1'!$C$23:$Q$78,11,FALSE)</f>
        <v>0</v>
      </c>
      <c r="Z43" s="14" t="str">
        <f>VLOOKUP(D43,'Obs Conc_1'!$C$23:$Q$78,12,FALSE)</f>
        <v>OOR &lt;</v>
      </c>
      <c r="AA43" s="15">
        <f>VLOOKUP(D43,'Obs Conc %CV_1'!$C$23:$Q$78,12,FALSE)</f>
        <v>0</v>
      </c>
      <c r="AB43" s="14" t="str">
        <f>VLOOKUP(D43,'Obs Conc_1'!$C$23:$Q$78,13,FALSE)</f>
        <v>OOR &lt;</v>
      </c>
      <c r="AC43" s="15">
        <f>VLOOKUP(D43,'Obs Conc %CV_1'!$C$23:$Q$78,13,FALSE)</f>
        <v>0</v>
      </c>
      <c r="AD43" s="14" t="str">
        <f>VLOOKUP(D43,'Obs Conc_1'!$C$23:$Q$78,14,FALSE)</f>
        <v>OOR &lt;</v>
      </c>
      <c r="AE43" s="15">
        <f>VLOOKUP(D43,'Obs Conc %CV_1'!$C$23:$Q$78,14,FALSE)</f>
        <v>0</v>
      </c>
      <c r="AF43" s="14" t="str">
        <f>VLOOKUP(D43,'Obs Conc_1'!$C$23:$Q$78,15,FALSE)</f>
        <v>OOR &lt;</v>
      </c>
      <c r="AG43" s="15">
        <f>VLOOKUP(D43,'Obs Conc %CV_1'!$C$23:$Q$78,15,FALSE)</f>
        <v>0</v>
      </c>
    </row>
    <row r="44" spans="1:33" x14ac:dyDescent="0.2">
      <c r="A44" s="2" t="s">
        <v>3</v>
      </c>
      <c r="B44" s="3" t="s">
        <v>35</v>
      </c>
      <c r="C44" s="2" t="s">
        <v>73</v>
      </c>
      <c r="D44" s="6" t="s">
        <v>162</v>
      </c>
      <c r="E44" s="12" t="s">
        <v>0</v>
      </c>
      <c r="F44" s="14" t="str">
        <f>VLOOKUP(D44,'Obs Conc_1'!$C$23:$Q$78,2,FALSE)</f>
        <v>OOR &lt;</v>
      </c>
      <c r="G44" s="15">
        <f>VLOOKUP(D44,'Obs Conc %CV_1'!$C$23:$Q$78,2,FALSE)</f>
        <v>0</v>
      </c>
      <c r="H44" s="14" t="str">
        <f>VLOOKUP(D44,'Obs Conc_1'!$C$23:$Q$78,3,FALSE)</f>
        <v>OOR &lt;</v>
      </c>
      <c r="I44" s="15">
        <f>VLOOKUP(D44,'Obs Conc %CV_1'!$C$23:$Q$78,3,FALSE)</f>
        <v>0</v>
      </c>
      <c r="J44" s="14" t="str">
        <f>VLOOKUP(D44,'Obs Conc_1'!$C$23:$Q$78,4,FALSE)</f>
        <v>OOR &lt;</v>
      </c>
      <c r="K44" s="15">
        <f>VLOOKUP(D44,'Obs Conc %CV_1'!$C$23:$Q$78,4,FALSE)</f>
        <v>0</v>
      </c>
      <c r="L44" s="14" t="str">
        <f>VLOOKUP(D44,'Obs Conc_1'!$C$23:$Q$78,5,FALSE)</f>
        <v>OOR &lt;</v>
      </c>
      <c r="M44" s="15">
        <f>VLOOKUP(D44,'Obs Conc %CV_1'!$C$23:$Q$78,5,FALSE)</f>
        <v>0</v>
      </c>
      <c r="N44" s="14" t="str">
        <f>VLOOKUP(D44,'Obs Conc_1'!$C$23:$Q$78,6,FALSE)</f>
        <v>OOR &lt;</v>
      </c>
      <c r="O44" s="15">
        <f>VLOOKUP(D44,'Obs Conc %CV_1'!$C$23:$Q$78,6,FALSE)</f>
        <v>0</v>
      </c>
      <c r="P44" s="14">
        <f>VLOOKUP(D44,'Obs Conc_1'!$C$23:$Q$78,7,FALSE)</f>
        <v>99.21</v>
      </c>
      <c r="Q44" s="15">
        <f>VLOOKUP(D44,'Obs Conc %CV_1'!$C$23:$Q$78,7,FALSE)</f>
        <v>0</v>
      </c>
      <c r="R44" s="14">
        <f>VLOOKUP(D44,'Obs Conc_1'!$C$23:$Q$78,8,FALSE)</f>
        <v>16.55</v>
      </c>
      <c r="S44" s="15">
        <f>VLOOKUP(D44,'Obs Conc %CV_1'!$C$23:$Q$78,8,FALSE)</f>
        <v>0</v>
      </c>
      <c r="T44" s="14" t="str">
        <f>VLOOKUP(D44,'Obs Conc_1'!$C$23:$Q$78,9,FALSE)</f>
        <v>*1.26</v>
      </c>
      <c r="U44" s="15">
        <f>VLOOKUP(D44,'Obs Conc %CV_1'!$C$23:$Q$78,9,FALSE)</f>
        <v>0</v>
      </c>
      <c r="V44" s="14">
        <f>VLOOKUP(D44,'Obs Conc_1'!$C$23:$Q$78,10,FALSE)</f>
        <v>784.13</v>
      </c>
      <c r="W44" s="15">
        <f>VLOOKUP(D44,'Obs Conc %CV_1'!$C$23:$Q$78,10,FALSE)</f>
        <v>0</v>
      </c>
      <c r="X44" s="14" t="str">
        <f>VLOOKUP(D44,'Obs Conc_1'!$C$23:$Q$78,11,FALSE)</f>
        <v>OOR &lt;</v>
      </c>
      <c r="Y44" s="15">
        <f>VLOOKUP(D44,'Obs Conc %CV_1'!$C$23:$Q$78,11,FALSE)</f>
        <v>0</v>
      </c>
      <c r="Z44" s="14" t="str">
        <f>VLOOKUP(D44,'Obs Conc_1'!$C$23:$Q$78,12,FALSE)</f>
        <v>OOR &lt;</v>
      </c>
      <c r="AA44" s="15">
        <f>VLOOKUP(D44,'Obs Conc %CV_1'!$C$23:$Q$78,12,FALSE)</f>
        <v>0</v>
      </c>
      <c r="AB44" s="14" t="str">
        <f>VLOOKUP(D44,'Obs Conc_1'!$C$23:$Q$78,13,FALSE)</f>
        <v>OOR &lt;</v>
      </c>
      <c r="AC44" s="15">
        <f>VLOOKUP(D44,'Obs Conc %CV_1'!$C$23:$Q$78,13,FALSE)</f>
        <v>0</v>
      </c>
      <c r="AD44" s="14" t="str">
        <f>VLOOKUP(D44,'Obs Conc_1'!$C$23:$Q$78,14,FALSE)</f>
        <v>OOR &lt;</v>
      </c>
      <c r="AE44" s="15">
        <f>VLOOKUP(D44,'Obs Conc %CV_1'!$C$23:$Q$78,14,FALSE)</f>
        <v>0</v>
      </c>
      <c r="AF44" s="14" t="str">
        <f>VLOOKUP(D44,'Obs Conc_1'!$C$23:$Q$78,15,FALSE)</f>
        <v>OOR &lt;</v>
      </c>
      <c r="AG44" s="15">
        <f>VLOOKUP(D44,'Obs Conc %CV_1'!$C$23:$Q$78,15,FALSE)</f>
        <v>0</v>
      </c>
    </row>
    <row r="45" spans="1:33" x14ac:dyDescent="0.2">
      <c r="A45" s="2" t="s">
        <v>3</v>
      </c>
      <c r="B45" s="3" t="s">
        <v>35</v>
      </c>
      <c r="C45" s="2" t="s">
        <v>72</v>
      </c>
      <c r="D45" s="6" t="s">
        <v>163</v>
      </c>
      <c r="E45" s="12" t="s">
        <v>0</v>
      </c>
      <c r="F45" s="14" t="str">
        <f>VLOOKUP(D45,'Obs Conc_1'!$C$23:$Q$78,2,FALSE)</f>
        <v>OOR &lt;</v>
      </c>
      <c r="G45" s="15">
        <f>VLOOKUP(D45,'Obs Conc %CV_1'!$C$23:$Q$78,2,FALSE)</f>
        <v>0</v>
      </c>
      <c r="H45" s="14" t="str">
        <f>VLOOKUP(D45,'Obs Conc_1'!$C$23:$Q$78,3,FALSE)</f>
        <v>OOR &lt;</v>
      </c>
      <c r="I45" s="15">
        <f>VLOOKUP(D45,'Obs Conc %CV_1'!$C$23:$Q$78,3,FALSE)</f>
        <v>0</v>
      </c>
      <c r="J45" s="14" t="str">
        <f>VLOOKUP(D45,'Obs Conc_1'!$C$23:$Q$78,4,FALSE)</f>
        <v>OOR &lt;</v>
      </c>
      <c r="K45" s="15">
        <f>VLOOKUP(D45,'Obs Conc %CV_1'!$C$23:$Q$78,4,FALSE)</f>
        <v>0</v>
      </c>
      <c r="L45" s="14" t="str">
        <f>VLOOKUP(D45,'Obs Conc_1'!$C$23:$Q$78,5,FALSE)</f>
        <v>OOR &lt;</v>
      </c>
      <c r="M45" s="15">
        <f>VLOOKUP(D45,'Obs Conc %CV_1'!$C$23:$Q$78,5,FALSE)</f>
        <v>0</v>
      </c>
      <c r="N45" s="14" t="str">
        <f>VLOOKUP(D45,'Obs Conc_1'!$C$23:$Q$78,6,FALSE)</f>
        <v>*0.01</v>
      </c>
      <c r="O45" s="15">
        <f>VLOOKUP(D45,'Obs Conc %CV_1'!$C$23:$Q$78,6,FALSE)</f>
        <v>0</v>
      </c>
      <c r="P45" s="14">
        <f>VLOOKUP(D45,'Obs Conc_1'!$C$23:$Q$78,7,FALSE)</f>
        <v>27.51</v>
      </c>
      <c r="Q45" s="15">
        <f>VLOOKUP(D45,'Obs Conc %CV_1'!$C$23:$Q$78,7,FALSE)</f>
        <v>0</v>
      </c>
      <c r="R45" s="14">
        <f>VLOOKUP(D45,'Obs Conc_1'!$C$23:$Q$78,8,FALSE)</f>
        <v>6.61</v>
      </c>
      <c r="S45" s="15">
        <f>VLOOKUP(D45,'Obs Conc %CV_1'!$C$23:$Q$78,8,FALSE)</f>
        <v>0</v>
      </c>
      <c r="T45" s="14" t="str">
        <f>VLOOKUP(D45,'Obs Conc_1'!$C$23:$Q$78,9,FALSE)</f>
        <v>OOR &lt;</v>
      </c>
      <c r="U45" s="15">
        <f>VLOOKUP(D45,'Obs Conc %CV_1'!$C$23:$Q$78,9,FALSE)</f>
        <v>0</v>
      </c>
      <c r="V45" s="14">
        <f>VLOOKUP(D45,'Obs Conc_1'!$C$23:$Q$78,10,FALSE)</f>
        <v>429.08</v>
      </c>
      <c r="W45" s="15">
        <f>VLOOKUP(D45,'Obs Conc %CV_1'!$C$23:$Q$78,10,FALSE)</f>
        <v>0</v>
      </c>
      <c r="X45" s="14" t="str">
        <f>VLOOKUP(D45,'Obs Conc_1'!$C$23:$Q$78,11,FALSE)</f>
        <v>OOR &lt;</v>
      </c>
      <c r="Y45" s="15">
        <f>VLOOKUP(D45,'Obs Conc %CV_1'!$C$23:$Q$78,11,FALSE)</f>
        <v>0</v>
      </c>
      <c r="Z45" s="14" t="str">
        <f>VLOOKUP(D45,'Obs Conc_1'!$C$23:$Q$78,12,FALSE)</f>
        <v>OOR &lt;</v>
      </c>
      <c r="AA45" s="15">
        <f>VLOOKUP(D45,'Obs Conc %CV_1'!$C$23:$Q$78,12,FALSE)</f>
        <v>0</v>
      </c>
      <c r="AB45" s="14" t="str">
        <f>VLOOKUP(D45,'Obs Conc_1'!$C$23:$Q$78,13,FALSE)</f>
        <v>OOR &lt;</v>
      </c>
      <c r="AC45" s="15">
        <f>VLOOKUP(D45,'Obs Conc %CV_1'!$C$23:$Q$78,13,FALSE)</f>
        <v>0</v>
      </c>
      <c r="AD45" s="14" t="str">
        <f>VLOOKUP(D45,'Obs Conc_1'!$C$23:$Q$78,14,FALSE)</f>
        <v>OOR &lt;</v>
      </c>
      <c r="AE45" s="15">
        <f>VLOOKUP(D45,'Obs Conc %CV_1'!$C$23:$Q$78,14,FALSE)</f>
        <v>0</v>
      </c>
      <c r="AF45" s="14" t="str">
        <f>VLOOKUP(D45,'Obs Conc_1'!$C$23:$Q$78,15,FALSE)</f>
        <v>OOR &lt;</v>
      </c>
      <c r="AG45" s="15">
        <f>VLOOKUP(D45,'Obs Conc %CV_1'!$C$23:$Q$78,15,FALSE)</f>
        <v>0</v>
      </c>
    </row>
    <row r="46" spans="1:33" x14ac:dyDescent="0.2">
      <c r="A46" s="2" t="s">
        <v>3</v>
      </c>
      <c r="B46" s="3" t="s">
        <v>35</v>
      </c>
      <c r="C46" s="2" t="s">
        <v>71</v>
      </c>
      <c r="D46" s="6" t="s">
        <v>164</v>
      </c>
      <c r="E46" s="12" t="s">
        <v>0</v>
      </c>
      <c r="F46" s="14" t="str">
        <f>VLOOKUP(D46,'Obs Conc_1'!$C$23:$Q$78,2,FALSE)</f>
        <v>OOR &lt;</v>
      </c>
      <c r="G46" s="15">
        <f>VLOOKUP(D46,'Obs Conc %CV_1'!$C$23:$Q$78,2,FALSE)</f>
        <v>0</v>
      </c>
      <c r="H46" s="14" t="str">
        <f>VLOOKUP(D46,'Obs Conc_1'!$C$23:$Q$78,3,FALSE)</f>
        <v>OOR &lt;</v>
      </c>
      <c r="I46" s="15">
        <f>VLOOKUP(D46,'Obs Conc %CV_1'!$C$23:$Q$78,3,FALSE)</f>
        <v>0</v>
      </c>
      <c r="J46" s="14" t="str">
        <f>VLOOKUP(D46,'Obs Conc_1'!$C$23:$Q$78,4,FALSE)</f>
        <v>OOR &lt;</v>
      </c>
      <c r="K46" s="15">
        <f>VLOOKUP(D46,'Obs Conc %CV_1'!$C$23:$Q$78,4,FALSE)</f>
        <v>0</v>
      </c>
      <c r="L46" s="14" t="str">
        <f>VLOOKUP(D46,'Obs Conc_1'!$C$23:$Q$78,5,FALSE)</f>
        <v>OOR &lt;</v>
      </c>
      <c r="M46" s="15">
        <f>VLOOKUP(D46,'Obs Conc %CV_1'!$C$23:$Q$78,5,FALSE)</f>
        <v>0</v>
      </c>
      <c r="N46" s="14" t="str">
        <f>VLOOKUP(D46,'Obs Conc_1'!$C$23:$Q$78,6,FALSE)</f>
        <v>*1.21</v>
      </c>
      <c r="O46" s="15">
        <f>VLOOKUP(D46,'Obs Conc %CV_1'!$C$23:$Q$78,6,FALSE)</f>
        <v>0</v>
      </c>
      <c r="P46" s="14">
        <f>VLOOKUP(D46,'Obs Conc_1'!$C$23:$Q$78,7,FALSE)</f>
        <v>84.53</v>
      </c>
      <c r="Q46" s="15">
        <f>VLOOKUP(D46,'Obs Conc %CV_1'!$C$23:$Q$78,7,FALSE)</f>
        <v>0</v>
      </c>
      <c r="R46" s="14">
        <f>VLOOKUP(D46,'Obs Conc_1'!$C$23:$Q$78,8,FALSE)</f>
        <v>22.95</v>
      </c>
      <c r="S46" s="15">
        <f>VLOOKUP(D46,'Obs Conc %CV_1'!$C$23:$Q$78,8,FALSE)</f>
        <v>0</v>
      </c>
      <c r="T46" s="14" t="str">
        <f>VLOOKUP(D46,'Obs Conc_1'!$C$23:$Q$78,9,FALSE)</f>
        <v>*0.88</v>
      </c>
      <c r="U46" s="15">
        <f>VLOOKUP(D46,'Obs Conc %CV_1'!$C$23:$Q$78,9,FALSE)</f>
        <v>0</v>
      </c>
      <c r="V46" s="14">
        <f>VLOOKUP(D46,'Obs Conc_1'!$C$23:$Q$78,10,FALSE)</f>
        <v>288.31</v>
      </c>
      <c r="W46" s="15">
        <f>VLOOKUP(D46,'Obs Conc %CV_1'!$C$23:$Q$78,10,FALSE)</f>
        <v>0</v>
      </c>
      <c r="X46" s="14" t="str">
        <f>VLOOKUP(D46,'Obs Conc_1'!$C$23:$Q$78,11,FALSE)</f>
        <v>OOR &lt;</v>
      </c>
      <c r="Y46" s="15">
        <f>VLOOKUP(D46,'Obs Conc %CV_1'!$C$23:$Q$78,11,FALSE)</f>
        <v>0</v>
      </c>
      <c r="Z46" s="14" t="str">
        <f>VLOOKUP(D46,'Obs Conc_1'!$C$23:$Q$78,12,FALSE)</f>
        <v>OOR &lt;</v>
      </c>
      <c r="AA46" s="15">
        <f>VLOOKUP(D46,'Obs Conc %CV_1'!$C$23:$Q$78,12,FALSE)</f>
        <v>0</v>
      </c>
      <c r="AB46" s="14" t="str">
        <f>VLOOKUP(D46,'Obs Conc_1'!$C$23:$Q$78,13,FALSE)</f>
        <v>OOR &lt;</v>
      </c>
      <c r="AC46" s="15">
        <f>VLOOKUP(D46,'Obs Conc %CV_1'!$C$23:$Q$78,13,FALSE)</f>
        <v>0</v>
      </c>
      <c r="AD46" s="14" t="str">
        <f>VLOOKUP(D46,'Obs Conc_1'!$C$23:$Q$78,14,FALSE)</f>
        <v>OOR &lt;</v>
      </c>
      <c r="AE46" s="15">
        <f>VLOOKUP(D46,'Obs Conc %CV_1'!$C$23:$Q$78,14,FALSE)</f>
        <v>0</v>
      </c>
      <c r="AF46" s="14" t="str">
        <f>VLOOKUP(D46,'Obs Conc_1'!$C$23:$Q$78,15,FALSE)</f>
        <v>OOR &lt;</v>
      </c>
      <c r="AG46" s="15">
        <f>VLOOKUP(D46,'Obs Conc %CV_1'!$C$23:$Q$78,15,FALSE)</f>
        <v>0</v>
      </c>
    </row>
    <row r="47" spans="1:33" x14ac:dyDescent="0.2">
      <c r="A47" s="2" t="s">
        <v>3</v>
      </c>
      <c r="B47" s="3" t="s">
        <v>35</v>
      </c>
      <c r="C47" s="2" t="s">
        <v>70</v>
      </c>
      <c r="D47" s="6" t="s">
        <v>165</v>
      </c>
      <c r="E47" s="12" t="s">
        <v>0</v>
      </c>
      <c r="F47" s="14" t="str">
        <f>VLOOKUP(D47,'Obs Conc_1'!$C$23:$Q$78,2,FALSE)</f>
        <v>OOR &lt;</v>
      </c>
      <c r="G47" s="15">
        <f>VLOOKUP(D47,'Obs Conc %CV_1'!$C$23:$Q$78,2,FALSE)</f>
        <v>0</v>
      </c>
      <c r="H47" s="14" t="str">
        <f>VLOOKUP(D47,'Obs Conc_1'!$C$23:$Q$78,3,FALSE)</f>
        <v>OOR &lt;</v>
      </c>
      <c r="I47" s="15">
        <f>VLOOKUP(D47,'Obs Conc %CV_1'!$C$23:$Q$78,3,FALSE)</f>
        <v>0</v>
      </c>
      <c r="J47" s="14" t="str">
        <f>VLOOKUP(D47,'Obs Conc_1'!$C$23:$Q$78,4,FALSE)</f>
        <v>OOR &lt;</v>
      </c>
      <c r="K47" s="15">
        <f>VLOOKUP(D47,'Obs Conc %CV_1'!$C$23:$Q$78,4,FALSE)</f>
        <v>0</v>
      </c>
      <c r="L47" s="14" t="str">
        <f>VLOOKUP(D47,'Obs Conc_1'!$C$23:$Q$78,5,FALSE)</f>
        <v>OOR &lt;</v>
      </c>
      <c r="M47" s="15">
        <f>VLOOKUP(D47,'Obs Conc %CV_1'!$C$23:$Q$78,5,FALSE)</f>
        <v>0</v>
      </c>
      <c r="N47" s="14" t="str">
        <f>VLOOKUP(D47,'Obs Conc_1'!$C$23:$Q$78,6,FALSE)</f>
        <v>OOR &lt;</v>
      </c>
      <c r="O47" s="15">
        <f>VLOOKUP(D47,'Obs Conc %CV_1'!$C$23:$Q$78,6,FALSE)</f>
        <v>0</v>
      </c>
      <c r="P47" s="14">
        <f>VLOOKUP(D47,'Obs Conc_1'!$C$23:$Q$78,7,FALSE)</f>
        <v>11.75</v>
      </c>
      <c r="Q47" s="15">
        <f>VLOOKUP(D47,'Obs Conc %CV_1'!$C$23:$Q$78,7,FALSE)</f>
        <v>0</v>
      </c>
      <c r="R47" s="14">
        <f>VLOOKUP(D47,'Obs Conc_1'!$C$23:$Q$78,8,FALSE)</f>
        <v>3.21</v>
      </c>
      <c r="S47" s="15">
        <f>VLOOKUP(D47,'Obs Conc %CV_1'!$C$23:$Q$78,8,FALSE)</f>
        <v>0</v>
      </c>
      <c r="T47" s="14" t="str">
        <f>VLOOKUP(D47,'Obs Conc_1'!$C$23:$Q$78,9,FALSE)</f>
        <v>*0.21</v>
      </c>
      <c r="U47" s="15">
        <f>VLOOKUP(D47,'Obs Conc %CV_1'!$C$23:$Q$78,9,FALSE)</f>
        <v>0</v>
      </c>
      <c r="V47" s="14">
        <f>VLOOKUP(D47,'Obs Conc_1'!$C$23:$Q$78,10,FALSE)</f>
        <v>277.92</v>
      </c>
      <c r="W47" s="15">
        <f>VLOOKUP(D47,'Obs Conc %CV_1'!$C$23:$Q$78,10,FALSE)</f>
        <v>0</v>
      </c>
      <c r="X47" s="14" t="str">
        <f>VLOOKUP(D47,'Obs Conc_1'!$C$23:$Q$78,11,FALSE)</f>
        <v>OOR &lt;</v>
      </c>
      <c r="Y47" s="15">
        <f>VLOOKUP(D47,'Obs Conc %CV_1'!$C$23:$Q$78,11,FALSE)</f>
        <v>0</v>
      </c>
      <c r="Z47" s="14" t="str">
        <f>VLOOKUP(D47,'Obs Conc_1'!$C$23:$Q$78,12,FALSE)</f>
        <v>OOR &lt;</v>
      </c>
      <c r="AA47" s="15">
        <f>VLOOKUP(D47,'Obs Conc %CV_1'!$C$23:$Q$78,12,FALSE)</f>
        <v>0</v>
      </c>
      <c r="AB47" s="14" t="str">
        <f>VLOOKUP(D47,'Obs Conc_1'!$C$23:$Q$78,13,FALSE)</f>
        <v>OOR &lt;</v>
      </c>
      <c r="AC47" s="15">
        <f>VLOOKUP(D47,'Obs Conc %CV_1'!$C$23:$Q$78,13,FALSE)</f>
        <v>0</v>
      </c>
      <c r="AD47" s="14" t="str">
        <f>VLOOKUP(D47,'Obs Conc_1'!$C$23:$Q$78,14,FALSE)</f>
        <v>OOR &lt;</v>
      </c>
      <c r="AE47" s="15">
        <f>VLOOKUP(D47,'Obs Conc %CV_1'!$C$23:$Q$78,14,FALSE)</f>
        <v>0</v>
      </c>
      <c r="AF47" s="14" t="str">
        <f>VLOOKUP(D47,'Obs Conc_1'!$C$23:$Q$78,15,FALSE)</f>
        <v>OOR &lt;</v>
      </c>
      <c r="AG47" s="15">
        <f>VLOOKUP(D47,'Obs Conc %CV_1'!$C$23:$Q$78,15,FALSE)</f>
        <v>0</v>
      </c>
    </row>
    <row r="48" spans="1:33" x14ac:dyDescent="0.2">
      <c r="A48" s="2" t="s">
        <v>3</v>
      </c>
      <c r="B48" s="3" t="s">
        <v>35</v>
      </c>
      <c r="C48" s="2" t="s">
        <v>69</v>
      </c>
      <c r="D48" s="6" t="s">
        <v>166</v>
      </c>
      <c r="E48" s="12" t="s">
        <v>0</v>
      </c>
      <c r="F48" s="14" t="str">
        <f>VLOOKUP(D48,'Obs Conc_1'!$C$23:$Q$78,2,FALSE)</f>
        <v>OOR &lt;</v>
      </c>
      <c r="G48" s="15">
        <f>VLOOKUP(D48,'Obs Conc %CV_1'!$C$23:$Q$78,2,FALSE)</f>
        <v>0</v>
      </c>
      <c r="H48" s="14" t="str">
        <f>VLOOKUP(D48,'Obs Conc_1'!$C$23:$Q$78,3,FALSE)</f>
        <v>OOR &lt;</v>
      </c>
      <c r="I48" s="15">
        <f>VLOOKUP(D48,'Obs Conc %CV_1'!$C$23:$Q$78,3,FALSE)</f>
        <v>0</v>
      </c>
      <c r="J48" s="14" t="str">
        <f>VLOOKUP(D48,'Obs Conc_1'!$C$23:$Q$78,4,FALSE)</f>
        <v>OOR &lt;</v>
      </c>
      <c r="K48" s="15">
        <f>VLOOKUP(D48,'Obs Conc %CV_1'!$C$23:$Q$78,4,FALSE)</f>
        <v>0</v>
      </c>
      <c r="L48" s="14" t="str">
        <f>VLOOKUP(D48,'Obs Conc_1'!$C$23:$Q$78,5,FALSE)</f>
        <v>OOR &lt;</v>
      </c>
      <c r="M48" s="15">
        <f>VLOOKUP(D48,'Obs Conc %CV_1'!$C$23:$Q$78,5,FALSE)</f>
        <v>0</v>
      </c>
      <c r="N48" s="14" t="str">
        <f>VLOOKUP(D48,'Obs Conc_1'!$C$23:$Q$78,6,FALSE)</f>
        <v>OOR &lt;</v>
      </c>
      <c r="O48" s="15">
        <f>VLOOKUP(D48,'Obs Conc %CV_1'!$C$23:$Q$78,6,FALSE)</f>
        <v>0</v>
      </c>
      <c r="P48" s="14">
        <f>VLOOKUP(D48,'Obs Conc_1'!$C$23:$Q$78,7,FALSE)</f>
        <v>35.94</v>
      </c>
      <c r="Q48" s="15">
        <f>VLOOKUP(D48,'Obs Conc %CV_1'!$C$23:$Q$78,7,FALSE)</f>
        <v>0</v>
      </c>
      <c r="R48" s="14">
        <f>VLOOKUP(D48,'Obs Conc_1'!$C$23:$Q$78,8,FALSE)</f>
        <v>37.4</v>
      </c>
      <c r="S48" s="15">
        <f>VLOOKUP(D48,'Obs Conc %CV_1'!$C$23:$Q$78,8,FALSE)</f>
        <v>0</v>
      </c>
      <c r="T48" s="14" t="str">
        <f>VLOOKUP(D48,'Obs Conc_1'!$C$23:$Q$78,9,FALSE)</f>
        <v>*1.52</v>
      </c>
      <c r="U48" s="15">
        <f>VLOOKUP(D48,'Obs Conc %CV_1'!$C$23:$Q$78,9,FALSE)</f>
        <v>0</v>
      </c>
      <c r="V48" s="14">
        <f>VLOOKUP(D48,'Obs Conc_1'!$C$23:$Q$78,10,FALSE)</f>
        <v>459.41</v>
      </c>
      <c r="W48" s="15">
        <f>VLOOKUP(D48,'Obs Conc %CV_1'!$C$23:$Q$78,10,FALSE)</f>
        <v>0</v>
      </c>
      <c r="X48" s="14" t="str">
        <f>VLOOKUP(D48,'Obs Conc_1'!$C$23:$Q$78,11,FALSE)</f>
        <v>OOR &lt;</v>
      </c>
      <c r="Y48" s="15">
        <f>VLOOKUP(D48,'Obs Conc %CV_1'!$C$23:$Q$78,11,FALSE)</f>
        <v>0</v>
      </c>
      <c r="Z48" s="14" t="str">
        <f>VLOOKUP(D48,'Obs Conc_1'!$C$23:$Q$78,12,FALSE)</f>
        <v>OOR &lt;</v>
      </c>
      <c r="AA48" s="15">
        <f>VLOOKUP(D48,'Obs Conc %CV_1'!$C$23:$Q$78,12,FALSE)</f>
        <v>0</v>
      </c>
      <c r="AB48" s="14" t="str">
        <f>VLOOKUP(D48,'Obs Conc_1'!$C$23:$Q$78,13,FALSE)</f>
        <v>OOR &lt;</v>
      </c>
      <c r="AC48" s="15">
        <f>VLOOKUP(D48,'Obs Conc %CV_1'!$C$23:$Q$78,13,FALSE)</f>
        <v>0</v>
      </c>
      <c r="AD48" s="14" t="str">
        <f>VLOOKUP(D48,'Obs Conc_1'!$C$23:$Q$78,14,FALSE)</f>
        <v>OOR &lt;</v>
      </c>
      <c r="AE48" s="15">
        <f>VLOOKUP(D48,'Obs Conc %CV_1'!$C$23:$Q$78,14,FALSE)</f>
        <v>0</v>
      </c>
      <c r="AF48" s="14" t="str">
        <f>VLOOKUP(D48,'Obs Conc_1'!$C$23:$Q$78,15,FALSE)</f>
        <v>OOR &lt;</v>
      </c>
      <c r="AG48" s="15">
        <f>VLOOKUP(D48,'Obs Conc %CV_1'!$C$23:$Q$78,15,FALSE)</f>
        <v>0</v>
      </c>
    </row>
    <row r="49" spans="1:33" x14ac:dyDescent="0.2">
      <c r="A49" s="2" t="s">
        <v>3</v>
      </c>
      <c r="B49" s="3" t="s">
        <v>35</v>
      </c>
      <c r="C49" s="2" t="s">
        <v>68</v>
      </c>
      <c r="D49" s="6" t="s">
        <v>167</v>
      </c>
      <c r="E49" s="12" t="s">
        <v>0</v>
      </c>
      <c r="F49" s="14" t="str">
        <f>VLOOKUP(D49,'Obs Conc_1'!$C$23:$Q$78,2,FALSE)</f>
        <v>OOR &lt;</v>
      </c>
      <c r="G49" s="15">
        <f>VLOOKUP(D49,'Obs Conc %CV_1'!$C$23:$Q$78,2,FALSE)</f>
        <v>0</v>
      </c>
      <c r="H49" s="14" t="str">
        <f>VLOOKUP(D49,'Obs Conc_1'!$C$23:$Q$78,3,FALSE)</f>
        <v>OOR &lt;</v>
      </c>
      <c r="I49" s="15">
        <f>VLOOKUP(D49,'Obs Conc %CV_1'!$C$23:$Q$78,3,FALSE)</f>
        <v>0</v>
      </c>
      <c r="J49" s="14" t="str">
        <f>VLOOKUP(D49,'Obs Conc_1'!$C$23:$Q$78,4,FALSE)</f>
        <v>OOR &lt;</v>
      </c>
      <c r="K49" s="15">
        <f>VLOOKUP(D49,'Obs Conc %CV_1'!$C$23:$Q$78,4,FALSE)</f>
        <v>0</v>
      </c>
      <c r="L49" s="14" t="str">
        <f>VLOOKUP(D49,'Obs Conc_1'!$C$23:$Q$78,5,FALSE)</f>
        <v>OOR &lt;</v>
      </c>
      <c r="M49" s="15">
        <f>VLOOKUP(D49,'Obs Conc %CV_1'!$C$23:$Q$78,5,FALSE)</f>
        <v>0</v>
      </c>
      <c r="N49" s="14" t="str">
        <f>VLOOKUP(D49,'Obs Conc_1'!$C$23:$Q$78,6,FALSE)</f>
        <v>*1.21</v>
      </c>
      <c r="O49" s="15">
        <f>VLOOKUP(D49,'Obs Conc %CV_1'!$C$23:$Q$78,6,FALSE)</f>
        <v>0</v>
      </c>
      <c r="P49" s="14" t="str">
        <f>VLOOKUP(D49,'Obs Conc_1'!$C$23:$Q$78,7,FALSE)</f>
        <v>*7.65</v>
      </c>
      <c r="Q49" s="15">
        <f>VLOOKUP(D49,'Obs Conc %CV_1'!$C$23:$Q$78,7,FALSE)</f>
        <v>0</v>
      </c>
      <c r="R49" s="14">
        <f>VLOOKUP(D49,'Obs Conc_1'!$C$23:$Q$78,8,FALSE)</f>
        <v>13.49</v>
      </c>
      <c r="S49" s="15">
        <f>VLOOKUP(D49,'Obs Conc %CV_1'!$C$23:$Q$78,8,FALSE)</f>
        <v>0</v>
      </c>
      <c r="T49" s="14">
        <f>VLOOKUP(D49,'Obs Conc_1'!$C$23:$Q$78,9,FALSE)</f>
        <v>1.64</v>
      </c>
      <c r="U49" s="15">
        <f>VLOOKUP(D49,'Obs Conc %CV_1'!$C$23:$Q$78,9,FALSE)</f>
        <v>0</v>
      </c>
      <c r="V49" s="14">
        <f>VLOOKUP(D49,'Obs Conc_1'!$C$23:$Q$78,10,FALSE)</f>
        <v>455.61</v>
      </c>
      <c r="W49" s="15">
        <f>VLOOKUP(D49,'Obs Conc %CV_1'!$C$23:$Q$78,10,FALSE)</f>
        <v>0</v>
      </c>
      <c r="X49" s="14" t="str">
        <f>VLOOKUP(D49,'Obs Conc_1'!$C$23:$Q$78,11,FALSE)</f>
        <v>OOR &lt;</v>
      </c>
      <c r="Y49" s="15">
        <f>VLOOKUP(D49,'Obs Conc %CV_1'!$C$23:$Q$78,11,FALSE)</f>
        <v>0</v>
      </c>
      <c r="Z49" s="14" t="str">
        <f>VLOOKUP(D49,'Obs Conc_1'!$C$23:$Q$78,12,FALSE)</f>
        <v>OOR &lt;</v>
      </c>
      <c r="AA49" s="15">
        <f>VLOOKUP(D49,'Obs Conc %CV_1'!$C$23:$Q$78,12,FALSE)</f>
        <v>0</v>
      </c>
      <c r="AB49" s="14" t="str">
        <f>VLOOKUP(D49,'Obs Conc_1'!$C$23:$Q$78,13,FALSE)</f>
        <v>OOR &lt;</v>
      </c>
      <c r="AC49" s="15">
        <f>VLOOKUP(D49,'Obs Conc %CV_1'!$C$23:$Q$78,13,FALSE)</f>
        <v>0</v>
      </c>
      <c r="AD49" s="14" t="str">
        <f>VLOOKUP(D49,'Obs Conc_1'!$C$23:$Q$78,14,FALSE)</f>
        <v>OOR &lt;</v>
      </c>
      <c r="AE49" s="15">
        <f>VLOOKUP(D49,'Obs Conc %CV_1'!$C$23:$Q$78,14,FALSE)</f>
        <v>0</v>
      </c>
      <c r="AF49" s="14" t="str">
        <f>VLOOKUP(D49,'Obs Conc_1'!$C$23:$Q$78,15,FALSE)</f>
        <v>OOR &lt;</v>
      </c>
      <c r="AG49" s="15">
        <f>VLOOKUP(D49,'Obs Conc %CV_1'!$C$23:$Q$78,15,FALSE)</f>
        <v>0</v>
      </c>
    </row>
    <row r="50" spans="1:33" x14ac:dyDescent="0.2">
      <c r="A50" s="2" t="s">
        <v>3</v>
      </c>
      <c r="B50" s="3" t="s">
        <v>35</v>
      </c>
      <c r="C50" s="2" t="s">
        <v>67</v>
      </c>
      <c r="D50" s="6" t="s">
        <v>168</v>
      </c>
      <c r="E50" s="12" t="s">
        <v>0</v>
      </c>
      <c r="F50" s="14" t="str">
        <f>VLOOKUP(D50,'Obs Conc_1'!$C$23:$Q$78,2,FALSE)</f>
        <v>OOR &lt;</v>
      </c>
      <c r="G50" s="15">
        <f>VLOOKUP(D50,'Obs Conc %CV_1'!$C$23:$Q$78,2,FALSE)</f>
        <v>0</v>
      </c>
      <c r="H50" s="14" t="str">
        <f>VLOOKUP(D50,'Obs Conc_1'!$C$23:$Q$78,3,FALSE)</f>
        <v>OOR &lt;</v>
      </c>
      <c r="I50" s="15">
        <f>VLOOKUP(D50,'Obs Conc %CV_1'!$C$23:$Q$78,3,FALSE)</f>
        <v>0</v>
      </c>
      <c r="J50" s="14" t="str">
        <f>VLOOKUP(D50,'Obs Conc_1'!$C$23:$Q$78,4,FALSE)</f>
        <v>OOR &lt;</v>
      </c>
      <c r="K50" s="15">
        <f>VLOOKUP(D50,'Obs Conc %CV_1'!$C$23:$Q$78,4,FALSE)</f>
        <v>0</v>
      </c>
      <c r="L50" s="14" t="str">
        <f>VLOOKUP(D50,'Obs Conc_1'!$C$23:$Q$78,5,FALSE)</f>
        <v>OOR &lt;</v>
      </c>
      <c r="M50" s="15">
        <f>VLOOKUP(D50,'Obs Conc %CV_1'!$C$23:$Q$78,5,FALSE)</f>
        <v>0</v>
      </c>
      <c r="N50" s="14" t="str">
        <f>VLOOKUP(D50,'Obs Conc_1'!$C$23:$Q$78,6,FALSE)</f>
        <v>*0.59</v>
      </c>
      <c r="O50" s="15">
        <f>VLOOKUP(D50,'Obs Conc %CV_1'!$C$23:$Q$78,6,FALSE)</f>
        <v>140.01</v>
      </c>
      <c r="P50" s="14">
        <f>VLOOKUP(D50,'Obs Conc_1'!$C$23:$Q$78,7,FALSE)</f>
        <v>16.440000000000001</v>
      </c>
      <c r="Q50" s="15">
        <f>VLOOKUP(D50,'Obs Conc %CV_1'!$C$23:$Q$78,7,FALSE)</f>
        <v>39.79</v>
      </c>
      <c r="R50" s="14" t="str">
        <f>VLOOKUP(D50,'Obs Conc_1'!$C$23:$Q$78,8,FALSE)</f>
        <v>*1.60</v>
      </c>
      <c r="S50" s="15">
        <f>VLOOKUP(D50,'Obs Conc %CV_1'!$C$23:$Q$78,8,FALSE)</f>
        <v>65.34</v>
      </c>
      <c r="T50" s="14" t="str">
        <f>VLOOKUP(D50,'Obs Conc_1'!$C$23:$Q$78,9,FALSE)</f>
        <v>OOR &lt;</v>
      </c>
      <c r="U50" s="15">
        <f>VLOOKUP(D50,'Obs Conc %CV_1'!$C$23:$Q$78,9,FALSE)</f>
        <v>0</v>
      </c>
      <c r="V50" s="14">
        <f>VLOOKUP(D50,'Obs Conc_1'!$C$23:$Q$78,10,FALSE)</f>
        <v>87.27</v>
      </c>
      <c r="W50" s="15">
        <f>VLOOKUP(D50,'Obs Conc %CV_1'!$C$23:$Q$78,10,FALSE)</f>
        <v>9.75</v>
      </c>
      <c r="X50" s="14" t="str">
        <f>VLOOKUP(D50,'Obs Conc_1'!$C$23:$Q$78,11,FALSE)</f>
        <v>OOR &lt;</v>
      </c>
      <c r="Y50" s="15">
        <f>VLOOKUP(D50,'Obs Conc %CV_1'!$C$23:$Q$78,11,FALSE)</f>
        <v>0</v>
      </c>
      <c r="Z50" s="14" t="str">
        <f>VLOOKUP(D50,'Obs Conc_1'!$C$23:$Q$78,12,FALSE)</f>
        <v>OOR &lt;</v>
      </c>
      <c r="AA50" s="15">
        <f>VLOOKUP(D50,'Obs Conc %CV_1'!$C$23:$Q$78,12,FALSE)</f>
        <v>0</v>
      </c>
      <c r="AB50" s="14" t="str">
        <f>VLOOKUP(D50,'Obs Conc_1'!$C$23:$Q$78,13,FALSE)</f>
        <v>OOR &lt;</v>
      </c>
      <c r="AC50" s="15">
        <f>VLOOKUP(D50,'Obs Conc %CV_1'!$C$23:$Q$78,13,FALSE)</f>
        <v>0</v>
      </c>
      <c r="AD50" s="14" t="str">
        <f>VLOOKUP(D50,'Obs Conc_1'!$C$23:$Q$78,14,FALSE)</f>
        <v>OOR &lt;</v>
      </c>
      <c r="AE50" s="15">
        <f>VLOOKUP(D50,'Obs Conc %CV_1'!$C$23:$Q$78,14,FALSE)</f>
        <v>0</v>
      </c>
      <c r="AF50" s="14" t="str">
        <f>VLOOKUP(D50,'Obs Conc_1'!$C$23:$Q$78,15,FALSE)</f>
        <v>OOR &lt;</v>
      </c>
      <c r="AG50" s="15">
        <f>VLOOKUP(D50,'Obs Conc %CV_1'!$C$23:$Q$78,15,FALSE)</f>
        <v>0</v>
      </c>
    </row>
    <row r="51" spans="1:33" x14ac:dyDescent="0.2">
      <c r="A51" s="2" t="s">
        <v>3</v>
      </c>
      <c r="B51" s="3" t="s">
        <v>35</v>
      </c>
      <c r="C51" s="2" t="s">
        <v>66</v>
      </c>
      <c r="D51" s="6" t="s">
        <v>169</v>
      </c>
      <c r="E51" s="12" t="s">
        <v>0</v>
      </c>
      <c r="F51" s="14" t="str">
        <f>VLOOKUP(D51,'Obs Conc_1'!$C$23:$Q$78,2,FALSE)</f>
        <v>OOR &lt;</v>
      </c>
      <c r="G51" s="15">
        <f>VLOOKUP(D51,'Obs Conc %CV_1'!$C$23:$Q$78,2,FALSE)</f>
        <v>0</v>
      </c>
      <c r="H51" s="14" t="str">
        <f>VLOOKUP(D51,'Obs Conc_1'!$C$23:$Q$78,3,FALSE)</f>
        <v>OOR &lt;</v>
      </c>
      <c r="I51" s="15">
        <f>VLOOKUP(D51,'Obs Conc %CV_1'!$C$23:$Q$78,3,FALSE)</f>
        <v>0</v>
      </c>
      <c r="J51" s="14" t="str">
        <f>VLOOKUP(D51,'Obs Conc_1'!$C$23:$Q$78,4,FALSE)</f>
        <v>OOR &lt;</v>
      </c>
      <c r="K51" s="15">
        <f>VLOOKUP(D51,'Obs Conc %CV_1'!$C$23:$Q$78,4,FALSE)</f>
        <v>0</v>
      </c>
      <c r="L51" s="14" t="str">
        <f>VLOOKUP(D51,'Obs Conc_1'!$C$23:$Q$78,5,FALSE)</f>
        <v>OOR &lt;</v>
      </c>
      <c r="M51" s="15">
        <f>VLOOKUP(D51,'Obs Conc %CV_1'!$C$23:$Q$78,5,FALSE)</f>
        <v>0</v>
      </c>
      <c r="N51" s="14" t="str">
        <f>VLOOKUP(D51,'Obs Conc_1'!$C$23:$Q$78,6,FALSE)</f>
        <v>*1.85</v>
      </c>
      <c r="O51" s="15">
        <f>VLOOKUP(D51,'Obs Conc %CV_1'!$C$23:$Q$78,6,FALSE)</f>
        <v>49.29</v>
      </c>
      <c r="P51" s="14">
        <f>VLOOKUP(D51,'Obs Conc_1'!$C$23:$Q$78,7,FALSE)</f>
        <v>46.79</v>
      </c>
      <c r="Q51" s="15">
        <f>VLOOKUP(D51,'Obs Conc %CV_1'!$C$23:$Q$78,7,FALSE)</f>
        <v>8.07</v>
      </c>
      <c r="R51" s="14">
        <f>VLOOKUP(D51,'Obs Conc_1'!$C$23:$Q$78,8,FALSE)</f>
        <v>2.59</v>
      </c>
      <c r="S51" s="15">
        <f>VLOOKUP(D51,'Obs Conc %CV_1'!$C$23:$Q$78,8,FALSE)</f>
        <v>24.19</v>
      </c>
      <c r="T51" s="14" t="str">
        <f>VLOOKUP(D51,'Obs Conc_1'!$C$23:$Q$78,9,FALSE)</f>
        <v>OOR &lt;</v>
      </c>
      <c r="U51" s="15">
        <f>VLOOKUP(D51,'Obs Conc %CV_1'!$C$23:$Q$78,9,FALSE)</f>
        <v>0</v>
      </c>
      <c r="V51" s="14">
        <f>VLOOKUP(D51,'Obs Conc_1'!$C$23:$Q$78,10,FALSE)</f>
        <v>179.03</v>
      </c>
      <c r="W51" s="15">
        <f>VLOOKUP(D51,'Obs Conc %CV_1'!$C$23:$Q$78,10,FALSE)</f>
        <v>7.58</v>
      </c>
      <c r="X51" s="14" t="str">
        <f>VLOOKUP(D51,'Obs Conc_1'!$C$23:$Q$78,11,FALSE)</f>
        <v>OOR &lt;</v>
      </c>
      <c r="Y51" s="15">
        <f>VLOOKUP(D51,'Obs Conc %CV_1'!$C$23:$Q$78,11,FALSE)</f>
        <v>0</v>
      </c>
      <c r="Z51" s="14" t="str">
        <f>VLOOKUP(D51,'Obs Conc_1'!$C$23:$Q$78,12,FALSE)</f>
        <v>OOR &lt;</v>
      </c>
      <c r="AA51" s="15">
        <f>VLOOKUP(D51,'Obs Conc %CV_1'!$C$23:$Q$78,12,FALSE)</f>
        <v>0</v>
      </c>
      <c r="AB51" s="14" t="str">
        <f>VLOOKUP(D51,'Obs Conc_1'!$C$23:$Q$78,13,FALSE)</f>
        <v>OOR &lt;</v>
      </c>
      <c r="AC51" s="15">
        <f>VLOOKUP(D51,'Obs Conc %CV_1'!$C$23:$Q$78,13,FALSE)</f>
        <v>0</v>
      </c>
      <c r="AD51" s="14" t="str">
        <f>VLOOKUP(D51,'Obs Conc_1'!$C$23:$Q$78,14,FALSE)</f>
        <v>OOR &lt;</v>
      </c>
      <c r="AE51" s="15">
        <f>VLOOKUP(D51,'Obs Conc %CV_1'!$C$23:$Q$78,14,FALSE)</f>
        <v>0</v>
      </c>
      <c r="AF51" s="14" t="str">
        <f>VLOOKUP(D51,'Obs Conc_1'!$C$23:$Q$78,15,FALSE)</f>
        <v>OOR &lt;</v>
      </c>
      <c r="AG51" s="15">
        <f>VLOOKUP(D51,'Obs Conc %CV_1'!$C$23:$Q$78,15,FALSE)</f>
        <v>0</v>
      </c>
    </row>
    <row r="52" spans="1:33" x14ac:dyDescent="0.2">
      <c r="A52" s="2" t="s">
        <v>3</v>
      </c>
      <c r="B52" s="3" t="s">
        <v>35</v>
      </c>
      <c r="C52" s="2" t="s">
        <v>65</v>
      </c>
      <c r="D52" s="6" t="s">
        <v>170</v>
      </c>
      <c r="E52" s="12" t="s">
        <v>0</v>
      </c>
      <c r="F52" s="14" t="str">
        <f>VLOOKUP(D52,'Obs Conc_1'!$C$23:$Q$78,2,FALSE)</f>
        <v>OOR &lt;</v>
      </c>
      <c r="G52" s="15">
        <f>VLOOKUP(D52,'Obs Conc %CV_1'!$C$23:$Q$78,2,FALSE)</f>
        <v>0</v>
      </c>
      <c r="H52" s="14" t="str">
        <f>VLOOKUP(D52,'Obs Conc_1'!$C$23:$Q$78,3,FALSE)</f>
        <v>OOR &lt;</v>
      </c>
      <c r="I52" s="15">
        <f>VLOOKUP(D52,'Obs Conc %CV_1'!$C$23:$Q$78,3,FALSE)</f>
        <v>0</v>
      </c>
      <c r="J52" s="14" t="str">
        <f>VLOOKUP(D52,'Obs Conc_1'!$C$23:$Q$78,4,FALSE)</f>
        <v>OOR &lt;</v>
      </c>
      <c r="K52" s="15">
        <f>VLOOKUP(D52,'Obs Conc %CV_1'!$C$23:$Q$78,4,FALSE)</f>
        <v>0</v>
      </c>
      <c r="L52" s="14" t="str">
        <f>VLOOKUP(D52,'Obs Conc_1'!$C$23:$Q$78,5,FALSE)</f>
        <v>OOR &lt;</v>
      </c>
      <c r="M52" s="15">
        <f>VLOOKUP(D52,'Obs Conc %CV_1'!$C$23:$Q$78,5,FALSE)</f>
        <v>0</v>
      </c>
      <c r="N52" s="14" t="str">
        <f>VLOOKUP(D52,'Obs Conc_1'!$C$23:$Q$78,6,FALSE)</f>
        <v>OOR &lt;</v>
      </c>
      <c r="O52" s="15">
        <f>VLOOKUP(D52,'Obs Conc %CV_1'!$C$23:$Q$78,6,FALSE)</f>
        <v>0</v>
      </c>
      <c r="P52" s="14">
        <f>VLOOKUP(D52,'Obs Conc_1'!$C$23:$Q$78,7,FALSE)</f>
        <v>64.099999999999994</v>
      </c>
      <c r="Q52" s="15">
        <f>VLOOKUP(D52,'Obs Conc %CV_1'!$C$23:$Q$78,7,FALSE)</f>
        <v>19.11</v>
      </c>
      <c r="R52" s="14">
        <f>VLOOKUP(D52,'Obs Conc_1'!$C$23:$Q$78,8,FALSE)</f>
        <v>4.46</v>
      </c>
      <c r="S52" s="15">
        <f>VLOOKUP(D52,'Obs Conc %CV_1'!$C$23:$Q$78,8,FALSE)</f>
        <v>4.07</v>
      </c>
      <c r="T52" s="14" t="str">
        <f>VLOOKUP(D52,'Obs Conc_1'!$C$23:$Q$78,9,FALSE)</f>
        <v>*0.21</v>
      </c>
      <c r="U52" s="15">
        <f>VLOOKUP(D52,'Obs Conc %CV_1'!$C$23:$Q$78,9,FALSE)</f>
        <v>94.49</v>
      </c>
      <c r="V52" s="14">
        <f>VLOOKUP(D52,'Obs Conc_1'!$C$23:$Q$78,10,FALSE)</f>
        <v>244.31</v>
      </c>
      <c r="W52" s="15">
        <f>VLOOKUP(D52,'Obs Conc %CV_1'!$C$23:$Q$78,10,FALSE)</f>
        <v>6.86</v>
      </c>
      <c r="X52" s="14" t="str">
        <f>VLOOKUP(D52,'Obs Conc_1'!$C$23:$Q$78,11,FALSE)</f>
        <v>OOR &lt;</v>
      </c>
      <c r="Y52" s="15">
        <f>VLOOKUP(D52,'Obs Conc %CV_1'!$C$23:$Q$78,11,FALSE)</f>
        <v>0</v>
      </c>
      <c r="Z52" s="14" t="str">
        <f>VLOOKUP(D52,'Obs Conc_1'!$C$23:$Q$78,12,FALSE)</f>
        <v>OOR &lt;</v>
      </c>
      <c r="AA52" s="15">
        <f>VLOOKUP(D52,'Obs Conc %CV_1'!$C$23:$Q$78,12,FALSE)</f>
        <v>0</v>
      </c>
      <c r="AB52" s="14" t="str">
        <f>VLOOKUP(D52,'Obs Conc_1'!$C$23:$Q$78,13,FALSE)</f>
        <v>OOR &lt;</v>
      </c>
      <c r="AC52" s="15">
        <f>VLOOKUP(D52,'Obs Conc %CV_1'!$C$23:$Q$78,13,FALSE)</f>
        <v>0</v>
      </c>
      <c r="AD52" s="14" t="str">
        <f>VLOOKUP(D52,'Obs Conc_1'!$C$23:$Q$78,14,FALSE)</f>
        <v>OOR &lt;</v>
      </c>
      <c r="AE52" s="15">
        <f>VLOOKUP(D52,'Obs Conc %CV_1'!$C$23:$Q$78,14,FALSE)</f>
        <v>0</v>
      </c>
      <c r="AF52" s="14" t="str">
        <f>VLOOKUP(D52,'Obs Conc_1'!$C$23:$Q$78,15,FALSE)</f>
        <v>OOR &lt;</v>
      </c>
      <c r="AG52" s="15">
        <f>VLOOKUP(D52,'Obs Conc %CV_1'!$C$23:$Q$78,15,FALSE)</f>
        <v>0</v>
      </c>
    </row>
    <row r="53" spans="1:33" x14ac:dyDescent="0.2">
      <c r="A53" s="2" t="s">
        <v>3</v>
      </c>
      <c r="B53" s="3" t="s">
        <v>35</v>
      </c>
      <c r="C53" s="2" t="s">
        <v>64</v>
      </c>
      <c r="D53" s="6" t="s">
        <v>171</v>
      </c>
      <c r="E53" s="12" t="s">
        <v>0</v>
      </c>
      <c r="F53" s="14" t="str">
        <f>VLOOKUP(D53,'Obs Conc_1'!$C$23:$Q$78,2,FALSE)</f>
        <v>OOR &lt;</v>
      </c>
      <c r="G53" s="15">
        <f>VLOOKUP(D53,'Obs Conc %CV_1'!$C$23:$Q$78,2,FALSE)</f>
        <v>0</v>
      </c>
      <c r="H53" s="14" t="str">
        <f>VLOOKUP(D53,'Obs Conc_1'!$C$23:$Q$78,3,FALSE)</f>
        <v>OOR &lt;</v>
      </c>
      <c r="I53" s="15">
        <f>VLOOKUP(D53,'Obs Conc %CV_1'!$C$23:$Q$78,3,FALSE)</f>
        <v>0</v>
      </c>
      <c r="J53" s="14" t="str">
        <f>VLOOKUP(D53,'Obs Conc_1'!$C$23:$Q$78,4,FALSE)</f>
        <v>OOR &lt;</v>
      </c>
      <c r="K53" s="15">
        <f>VLOOKUP(D53,'Obs Conc %CV_1'!$C$23:$Q$78,4,FALSE)</f>
        <v>0</v>
      </c>
      <c r="L53" s="14" t="str">
        <f>VLOOKUP(D53,'Obs Conc_1'!$C$23:$Q$78,5,FALSE)</f>
        <v>OOR &lt;</v>
      </c>
      <c r="M53" s="15">
        <f>VLOOKUP(D53,'Obs Conc %CV_1'!$C$23:$Q$78,5,FALSE)</f>
        <v>0</v>
      </c>
      <c r="N53" s="14" t="str">
        <f>VLOOKUP(D53,'Obs Conc_1'!$C$23:$Q$78,6,FALSE)</f>
        <v>*1.21</v>
      </c>
      <c r="O53" s="15">
        <f>VLOOKUP(D53,'Obs Conc %CV_1'!$C$23:$Q$78,6,FALSE)</f>
        <v>0</v>
      </c>
      <c r="P53" s="14">
        <f>VLOOKUP(D53,'Obs Conc_1'!$C$23:$Q$78,7,FALSE)</f>
        <v>39.369999999999997</v>
      </c>
      <c r="Q53" s="15">
        <f>VLOOKUP(D53,'Obs Conc %CV_1'!$C$23:$Q$78,7,FALSE)</f>
        <v>12.27</v>
      </c>
      <c r="R53" s="14">
        <f>VLOOKUP(D53,'Obs Conc_1'!$C$23:$Q$78,8,FALSE)</f>
        <v>11.18</v>
      </c>
      <c r="S53" s="15">
        <f>VLOOKUP(D53,'Obs Conc %CV_1'!$C$23:$Q$78,8,FALSE)</f>
        <v>26.3</v>
      </c>
      <c r="T53" s="14">
        <f>VLOOKUP(D53,'Obs Conc_1'!$C$23:$Q$78,9,FALSE)</f>
        <v>9.36</v>
      </c>
      <c r="U53" s="15">
        <f>VLOOKUP(D53,'Obs Conc %CV_1'!$C$23:$Q$78,9,FALSE)</f>
        <v>31.53</v>
      </c>
      <c r="V53" s="14">
        <f>VLOOKUP(D53,'Obs Conc_1'!$C$23:$Q$78,10,FALSE)</f>
        <v>516.48</v>
      </c>
      <c r="W53" s="15">
        <f>VLOOKUP(D53,'Obs Conc %CV_1'!$C$23:$Q$78,10,FALSE)</f>
        <v>15.15</v>
      </c>
      <c r="X53" s="14" t="str">
        <f>VLOOKUP(D53,'Obs Conc_1'!$C$23:$Q$78,11,FALSE)</f>
        <v>OOR &lt;</v>
      </c>
      <c r="Y53" s="15">
        <f>VLOOKUP(D53,'Obs Conc %CV_1'!$C$23:$Q$78,11,FALSE)</f>
        <v>0</v>
      </c>
      <c r="Z53" s="14" t="str">
        <f>VLOOKUP(D53,'Obs Conc_1'!$C$23:$Q$78,12,FALSE)</f>
        <v>OOR &lt;</v>
      </c>
      <c r="AA53" s="15">
        <f>VLOOKUP(D53,'Obs Conc %CV_1'!$C$23:$Q$78,12,FALSE)</f>
        <v>0</v>
      </c>
      <c r="AB53" s="14" t="str">
        <f>VLOOKUP(D53,'Obs Conc_1'!$C$23:$Q$78,13,FALSE)</f>
        <v>OOR &lt;</v>
      </c>
      <c r="AC53" s="15">
        <f>VLOOKUP(D53,'Obs Conc %CV_1'!$C$23:$Q$78,13,FALSE)</f>
        <v>0</v>
      </c>
      <c r="AD53" s="14" t="str">
        <f>VLOOKUP(D53,'Obs Conc_1'!$C$23:$Q$78,14,FALSE)</f>
        <v>OOR &lt;</v>
      </c>
      <c r="AE53" s="15">
        <f>VLOOKUP(D53,'Obs Conc %CV_1'!$C$23:$Q$78,14,FALSE)</f>
        <v>0</v>
      </c>
      <c r="AF53" s="14" t="str">
        <f>VLOOKUP(D53,'Obs Conc_1'!$C$23:$Q$78,15,FALSE)</f>
        <v>OOR &lt;</v>
      </c>
      <c r="AG53" s="15">
        <f>VLOOKUP(D53,'Obs Conc %CV_1'!$C$23:$Q$78,15,FALSE)</f>
        <v>0</v>
      </c>
    </row>
    <row r="54" spans="1:33" x14ac:dyDescent="0.2">
      <c r="A54" s="2" t="s">
        <v>3</v>
      </c>
      <c r="B54" s="3" t="s">
        <v>35</v>
      </c>
      <c r="C54" s="2" t="s">
        <v>63</v>
      </c>
      <c r="D54" s="6" t="s">
        <v>172</v>
      </c>
      <c r="E54" s="12" t="s">
        <v>0</v>
      </c>
      <c r="F54" s="14" t="str">
        <f>VLOOKUP(D54,'Obs Conc_1'!$C$23:$Q$78,2,FALSE)</f>
        <v>OOR &lt;</v>
      </c>
      <c r="G54" s="15">
        <f>VLOOKUP(D54,'Obs Conc %CV_1'!$C$23:$Q$78,2,FALSE)</f>
        <v>0</v>
      </c>
      <c r="H54" s="14" t="str">
        <f>VLOOKUP(D54,'Obs Conc_1'!$C$23:$Q$78,3,FALSE)</f>
        <v>OOR &lt;</v>
      </c>
      <c r="I54" s="15">
        <f>VLOOKUP(D54,'Obs Conc %CV_1'!$C$23:$Q$78,3,FALSE)</f>
        <v>0</v>
      </c>
      <c r="J54" s="14" t="str">
        <f>VLOOKUP(D54,'Obs Conc_1'!$C$23:$Q$78,4,FALSE)</f>
        <v>OOR &lt;</v>
      </c>
      <c r="K54" s="15">
        <f>VLOOKUP(D54,'Obs Conc %CV_1'!$C$23:$Q$78,4,FALSE)</f>
        <v>0</v>
      </c>
      <c r="L54" s="14" t="str">
        <f>VLOOKUP(D54,'Obs Conc_1'!$C$23:$Q$78,5,FALSE)</f>
        <v>OOR &lt;</v>
      </c>
      <c r="M54" s="15">
        <f>VLOOKUP(D54,'Obs Conc %CV_1'!$C$23:$Q$78,5,FALSE)</f>
        <v>0</v>
      </c>
      <c r="N54" s="14" t="str">
        <f>VLOOKUP(D54,'Obs Conc_1'!$C$23:$Q$78,6,FALSE)</f>
        <v>OOR &lt;</v>
      </c>
      <c r="O54" s="15">
        <f>VLOOKUP(D54,'Obs Conc %CV_1'!$C$23:$Q$78,6,FALSE)</f>
        <v>0</v>
      </c>
      <c r="P54" s="14" t="str">
        <f>VLOOKUP(D54,'Obs Conc_1'!$C$23:$Q$78,7,FALSE)</f>
        <v>OOR &lt;</v>
      </c>
      <c r="Q54" s="15">
        <f>VLOOKUP(D54,'Obs Conc %CV_1'!$C$23:$Q$78,7,FALSE)</f>
        <v>0</v>
      </c>
      <c r="R54" s="14" t="str">
        <f>VLOOKUP(D54,'Obs Conc_1'!$C$23:$Q$78,8,FALSE)</f>
        <v>OOR &lt;</v>
      </c>
      <c r="S54" s="15">
        <f>VLOOKUP(D54,'Obs Conc %CV_1'!$C$23:$Q$78,8,FALSE)</f>
        <v>0</v>
      </c>
      <c r="T54" s="14" t="str">
        <f>VLOOKUP(D54,'Obs Conc_1'!$C$23:$Q$78,9,FALSE)</f>
        <v>OOR &lt;</v>
      </c>
      <c r="U54" s="15">
        <f>VLOOKUP(D54,'Obs Conc %CV_1'!$C$23:$Q$78,9,FALSE)</f>
        <v>0</v>
      </c>
      <c r="V54" s="14">
        <f>VLOOKUP(D54,'Obs Conc_1'!$C$23:$Q$78,10,FALSE)</f>
        <v>119.46</v>
      </c>
      <c r="W54" s="15">
        <f>VLOOKUP(D54,'Obs Conc %CV_1'!$C$23:$Q$78,10,FALSE)</f>
        <v>0.57999999999999996</v>
      </c>
      <c r="X54" s="14" t="str">
        <f>VLOOKUP(D54,'Obs Conc_1'!$C$23:$Q$78,11,FALSE)</f>
        <v>OOR &lt;</v>
      </c>
      <c r="Y54" s="15">
        <f>VLOOKUP(D54,'Obs Conc %CV_1'!$C$23:$Q$78,11,FALSE)</f>
        <v>0</v>
      </c>
      <c r="Z54" s="14" t="str">
        <f>VLOOKUP(D54,'Obs Conc_1'!$C$23:$Q$78,12,FALSE)</f>
        <v>OOR &lt;</v>
      </c>
      <c r="AA54" s="15">
        <f>VLOOKUP(D54,'Obs Conc %CV_1'!$C$23:$Q$78,12,FALSE)</f>
        <v>0</v>
      </c>
      <c r="AB54" s="14" t="str">
        <f>VLOOKUP(D54,'Obs Conc_1'!$C$23:$Q$78,13,FALSE)</f>
        <v>OOR &lt;</v>
      </c>
      <c r="AC54" s="15">
        <f>VLOOKUP(D54,'Obs Conc %CV_1'!$C$23:$Q$78,13,FALSE)</f>
        <v>0</v>
      </c>
      <c r="AD54" s="14" t="str">
        <f>VLOOKUP(D54,'Obs Conc_1'!$C$23:$Q$78,14,FALSE)</f>
        <v>OOR &lt;</v>
      </c>
      <c r="AE54" s="15">
        <f>VLOOKUP(D54,'Obs Conc %CV_1'!$C$23:$Q$78,14,FALSE)</f>
        <v>0</v>
      </c>
      <c r="AF54" s="14" t="str">
        <f>VLOOKUP(D54,'Obs Conc_1'!$C$23:$Q$78,15,FALSE)</f>
        <v>OOR &lt;</v>
      </c>
      <c r="AG54" s="15">
        <f>VLOOKUP(D54,'Obs Conc %CV_1'!$C$23:$Q$78,15,FALSE)</f>
        <v>0</v>
      </c>
    </row>
    <row r="55" spans="1:33" x14ac:dyDescent="0.2">
      <c r="A55" s="2" t="s">
        <v>3</v>
      </c>
      <c r="B55" s="3" t="s">
        <v>35</v>
      </c>
      <c r="C55" s="2" t="s">
        <v>62</v>
      </c>
      <c r="D55" s="6" t="s">
        <v>173</v>
      </c>
      <c r="E55" s="12" t="s">
        <v>0</v>
      </c>
      <c r="F55" s="14">
        <f>VLOOKUP(D55,'Obs Conc_1'!$C$23:$Q$78,2,FALSE)</f>
        <v>170.49</v>
      </c>
      <c r="G55" s="15">
        <f>VLOOKUP(D55,'Obs Conc %CV_1'!$C$23:$Q$78,2,FALSE)</f>
        <v>6.96</v>
      </c>
      <c r="H55" s="14" t="str">
        <f>VLOOKUP(D55,'Obs Conc_1'!$C$23:$Q$78,3,FALSE)</f>
        <v>OOR &lt;</v>
      </c>
      <c r="I55" s="15">
        <f>VLOOKUP(D55,'Obs Conc %CV_1'!$C$23:$Q$78,3,FALSE)</f>
        <v>0</v>
      </c>
      <c r="J55" s="14" t="str">
        <f>VLOOKUP(D55,'Obs Conc_1'!$C$23:$Q$78,4,FALSE)</f>
        <v>OOR &lt;</v>
      </c>
      <c r="K55" s="15">
        <f>VLOOKUP(D55,'Obs Conc %CV_1'!$C$23:$Q$78,4,FALSE)</f>
        <v>0</v>
      </c>
      <c r="L55" s="14" t="str">
        <f>VLOOKUP(D55,'Obs Conc_1'!$C$23:$Q$78,5,FALSE)</f>
        <v>OOR &lt;</v>
      </c>
      <c r="M55" s="15">
        <f>VLOOKUP(D55,'Obs Conc %CV_1'!$C$23:$Q$78,5,FALSE)</f>
        <v>0</v>
      </c>
      <c r="N55" s="14" t="str">
        <f>VLOOKUP(D55,'Obs Conc_1'!$C$23:$Q$78,6,FALSE)</f>
        <v>OOR &lt;</v>
      </c>
      <c r="O55" s="15">
        <f>VLOOKUP(D55,'Obs Conc %CV_1'!$C$23:$Q$78,6,FALSE)</f>
        <v>0</v>
      </c>
      <c r="P55" s="14">
        <f>VLOOKUP(D55,'Obs Conc_1'!$C$23:$Q$78,7,FALSE)</f>
        <v>51.44</v>
      </c>
      <c r="Q55" s="15">
        <f>VLOOKUP(D55,'Obs Conc %CV_1'!$C$23:$Q$78,7,FALSE)</f>
        <v>21.8</v>
      </c>
      <c r="R55" s="14">
        <f>VLOOKUP(D55,'Obs Conc_1'!$C$23:$Q$78,8,FALSE)</f>
        <v>18.43</v>
      </c>
      <c r="S55" s="15">
        <f>VLOOKUP(D55,'Obs Conc %CV_1'!$C$23:$Q$78,8,FALSE)</f>
        <v>11.37</v>
      </c>
      <c r="T55" s="14">
        <f>VLOOKUP(D55,'Obs Conc_1'!$C$23:$Q$78,9,FALSE)</f>
        <v>9</v>
      </c>
      <c r="U55" s="15">
        <f>VLOOKUP(D55,'Obs Conc %CV_1'!$C$23:$Q$78,9,FALSE)</f>
        <v>3.75</v>
      </c>
      <c r="V55" s="14">
        <f>VLOOKUP(D55,'Obs Conc_1'!$C$23:$Q$78,10,FALSE)</f>
        <v>658.3</v>
      </c>
      <c r="W55" s="15">
        <f>VLOOKUP(D55,'Obs Conc %CV_1'!$C$23:$Q$78,10,FALSE)</f>
        <v>10.11</v>
      </c>
      <c r="X55" s="14" t="str">
        <f>VLOOKUP(D55,'Obs Conc_1'!$C$23:$Q$78,11,FALSE)</f>
        <v>OOR &lt;</v>
      </c>
      <c r="Y55" s="15">
        <f>VLOOKUP(D55,'Obs Conc %CV_1'!$C$23:$Q$78,11,FALSE)</f>
        <v>0</v>
      </c>
      <c r="Z55" s="14" t="str">
        <f>VLOOKUP(D55,'Obs Conc_1'!$C$23:$Q$78,12,FALSE)</f>
        <v>OOR &lt;</v>
      </c>
      <c r="AA55" s="15">
        <f>VLOOKUP(D55,'Obs Conc %CV_1'!$C$23:$Q$78,12,FALSE)</f>
        <v>0</v>
      </c>
      <c r="AB55" s="14" t="str">
        <f>VLOOKUP(D55,'Obs Conc_1'!$C$23:$Q$78,13,FALSE)</f>
        <v>OOR &lt;</v>
      </c>
      <c r="AC55" s="15">
        <f>VLOOKUP(D55,'Obs Conc %CV_1'!$C$23:$Q$78,13,FALSE)</f>
        <v>0</v>
      </c>
      <c r="AD55" s="14" t="str">
        <f>VLOOKUP(D55,'Obs Conc_1'!$C$23:$Q$78,14,FALSE)</f>
        <v>OOR &lt;</v>
      </c>
      <c r="AE55" s="15">
        <f>VLOOKUP(D55,'Obs Conc %CV_1'!$C$23:$Q$78,14,FALSE)</f>
        <v>0</v>
      </c>
      <c r="AF55" s="14" t="str">
        <f>VLOOKUP(D55,'Obs Conc_1'!$C$23:$Q$78,15,FALSE)</f>
        <v>OOR &lt;</v>
      </c>
      <c r="AG55" s="15">
        <f>VLOOKUP(D55,'Obs Conc %CV_1'!$C$23:$Q$78,15,FALSE)</f>
        <v>0</v>
      </c>
    </row>
    <row r="56" spans="1:33" x14ac:dyDescent="0.2">
      <c r="A56" s="2" t="s">
        <v>3</v>
      </c>
      <c r="B56" s="3" t="s">
        <v>35</v>
      </c>
      <c r="C56" s="2" t="s">
        <v>61</v>
      </c>
      <c r="D56" s="6" t="s">
        <v>174</v>
      </c>
      <c r="E56" s="12" t="s">
        <v>0</v>
      </c>
      <c r="F56" s="14">
        <f>VLOOKUP(D56,'Obs Conc_1'!$C$23:$Q$78,2,FALSE)</f>
        <v>95.85</v>
      </c>
      <c r="G56" s="15">
        <f>VLOOKUP(D56,'Obs Conc %CV_1'!$C$23:$Q$78,2,FALSE)</f>
        <v>2.29</v>
      </c>
      <c r="H56" s="14" t="str">
        <f>VLOOKUP(D56,'Obs Conc_1'!$C$23:$Q$78,3,FALSE)</f>
        <v>OOR &lt;</v>
      </c>
      <c r="I56" s="15">
        <f>VLOOKUP(D56,'Obs Conc %CV_1'!$C$23:$Q$78,3,FALSE)</f>
        <v>0</v>
      </c>
      <c r="J56" s="14" t="str">
        <f>VLOOKUP(D56,'Obs Conc_1'!$C$23:$Q$78,4,FALSE)</f>
        <v>OOR &lt;</v>
      </c>
      <c r="K56" s="15">
        <f>VLOOKUP(D56,'Obs Conc %CV_1'!$C$23:$Q$78,4,FALSE)</f>
        <v>0</v>
      </c>
      <c r="L56" s="14" t="str">
        <f>VLOOKUP(D56,'Obs Conc_1'!$C$23:$Q$78,5,FALSE)</f>
        <v>OOR &lt;</v>
      </c>
      <c r="M56" s="15">
        <f>VLOOKUP(D56,'Obs Conc %CV_1'!$C$23:$Q$78,5,FALSE)</f>
        <v>0</v>
      </c>
      <c r="N56" s="14" t="str">
        <f>VLOOKUP(D56,'Obs Conc_1'!$C$23:$Q$78,6,FALSE)</f>
        <v>*3.83</v>
      </c>
      <c r="O56" s="15">
        <f>VLOOKUP(D56,'Obs Conc %CV_1'!$C$23:$Q$78,6,FALSE)</f>
        <v>97.42</v>
      </c>
      <c r="P56" s="14">
        <f>VLOOKUP(D56,'Obs Conc_1'!$C$23:$Q$78,7,FALSE)</f>
        <v>35.590000000000003</v>
      </c>
      <c r="Q56" s="15">
        <f>VLOOKUP(D56,'Obs Conc %CV_1'!$C$23:$Q$78,7,FALSE)</f>
        <v>6.87</v>
      </c>
      <c r="R56" s="14">
        <f>VLOOKUP(D56,'Obs Conc_1'!$C$23:$Q$78,8,FALSE)</f>
        <v>12.68</v>
      </c>
      <c r="S56" s="15">
        <f>VLOOKUP(D56,'Obs Conc %CV_1'!$C$23:$Q$78,8,FALSE)</f>
        <v>9.0399999999999991</v>
      </c>
      <c r="T56" s="14" t="str">
        <f>VLOOKUP(D56,'Obs Conc_1'!$C$23:$Q$78,9,FALSE)</f>
        <v>OOR &lt;</v>
      </c>
      <c r="U56" s="15">
        <f>VLOOKUP(D56,'Obs Conc %CV_1'!$C$23:$Q$78,9,FALSE)</f>
        <v>0</v>
      </c>
      <c r="V56" s="14">
        <f>VLOOKUP(D56,'Obs Conc_1'!$C$23:$Q$78,10,FALSE)</f>
        <v>552.79</v>
      </c>
      <c r="W56" s="15">
        <f>VLOOKUP(D56,'Obs Conc %CV_1'!$C$23:$Q$78,10,FALSE)</f>
        <v>5.63</v>
      </c>
      <c r="X56" s="14" t="str">
        <f>VLOOKUP(D56,'Obs Conc_1'!$C$23:$Q$78,11,FALSE)</f>
        <v>OOR &lt;</v>
      </c>
      <c r="Y56" s="15">
        <f>VLOOKUP(D56,'Obs Conc %CV_1'!$C$23:$Q$78,11,FALSE)</f>
        <v>0</v>
      </c>
      <c r="Z56" s="14" t="str">
        <f>VLOOKUP(D56,'Obs Conc_1'!$C$23:$Q$78,12,FALSE)</f>
        <v>OOR &lt;</v>
      </c>
      <c r="AA56" s="15">
        <f>VLOOKUP(D56,'Obs Conc %CV_1'!$C$23:$Q$78,12,FALSE)</f>
        <v>0</v>
      </c>
      <c r="AB56" s="14" t="str">
        <f>VLOOKUP(D56,'Obs Conc_1'!$C$23:$Q$78,13,FALSE)</f>
        <v>OOR &lt;</v>
      </c>
      <c r="AC56" s="15">
        <f>VLOOKUP(D56,'Obs Conc %CV_1'!$C$23:$Q$78,13,FALSE)</f>
        <v>0</v>
      </c>
      <c r="AD56" s="14" t="str">
        <f>VLOOKUP(D56,'Obs Conc_1'!$C$23:$Q$78,14,FALSE)</f>
        <v>OOR &lt;</v>
      </c>
      <c r="AE56" s="15">
        <f>VLOOKUP(D56,'Obs Conc %CV_1'!$C$23:$Q$78,14,FALSE)</f>
        <v>0</v>
      </c>
      <c r="AF56" s="14" t="str">
        <f>VLOOKUP(D56,'Obs Conc_1'!$C$23:$Q$78,15,FALSE)</f>
        <v>OOR &lt;</v>
      </c>
      <c r="AG56" s="15">
        <f>VLOOKUP(D56,'Obs Conc %CV_1'!$C$23:$Q$78,15,FALSE)</f>
        <v>0</v>
      </c>
    </row>
    <row r="57" spans="1:33" x14ac:dyDescent="0.2">
      <c r="A57" s="2" t="s">
        <v>3</v>
      </c>
      <c r="B57" s="3" t="s">
        <v>35</v>
      </c>
      <c r="C57" s="2" t="s">
        <v>60</v>
      </c>
      <c r="D57" s="6" t="s">
        <v>175</v>
      </c>
      <c r="E57" s="12" t="s">
        <v>0</v>
      </c>
      <c r="F57" s="14" t="str">
        <f>VLOOKUP(D57,'Obs Conc_1'!$C$23:$Q$78,2,FALSE)</f>
        <v>*7.54</v>
      </c>
      <c r="G57" s="15">
        <f>VLOOKUP(D57,'Obs Conc %CV_1'!$C$23:$Q$78,2,FALSE)</f>
        <v>25.85</v>
      </c>
      <c r="H57" s="14" t="str">
        <f>VLOOKUP(D57,'Obs Conc_1'!$C$23:$Q$78,3,FALSE)</f>
        <v>OOR &lt;</v>
      </c>
      <c r="I57" s="15">
        <f>VLOOKUP(D57,'Obs Conc %CV_1'!$C$23:$Q$78,3,FALSE)</f>
        <v>0</v>
      </c>
      <c r="J57" s="14" t="str">
        <f>VLOOKUP(D57,'Obs Conc_1'!$C$23:$Q$78,4,FALSE)</f>
        <v>OOR &lt;</v>
      </c>
      <c r="K57" s="15">
        <f>VLOOKUP(D57,'Obs Conc %CV_1'!$C$23:$Q$78,4,FALSE)</f>
        <v>0</v>
      </c>
      <c r="L57" s="14" t="str">
        <f>VLOOKUP(D57,'Obs Conc_1'!$C$23:$Q$78,5,FALSE)</f>
        <v>OOR &lt;</v>
      </c>
      <c r="M57" s="15">
        <f>VLOOKUP(D57,'Obs Conc %CV_1'!$C$23:$Q$78,5,FALSE)</f>
        <v>0</v>
      </c>
      <c r="N57" s="14" t="str">
        <f>VLOOKUP(D57,'Obs Conc_1'!$C$23:$Q$78,6,FALSE)</f>
        <v>OOR &lt;</v>
      </c>
      <c r="O57" s="15">
        <f>VLOOKUP(D57,'Obs Conc %CV_1'!$C$23:$Q$78,6,FALSE)</f>
        <v>0</v>
      </c>
      <c r="P57" s="14">
        <f>VLOOKUP(D57,'Obs Conc_1'!$C$23:$Q$78,7,FALSE)</f>
        <v>34.9</v>
      </c>
      <c r="Q57" s="15">
        <f>VLOOKUP(D57,'Obs Conc %CV_1'!$C$23:$Q$78,7,FALSE)</f>
        <v>4.22</v>
      </c>
      <c r="R57" s="14">
        <f>VLOOKUP(D57,'Obs Conc_1'!$C$23:$Q$78,8,FALSE)</f>
        <v>146.77000000000001</v>
      </c>
      <c r="S57" s="15">
        <f>VLOOKUP(D57,'Obs Conc %CV_1'!$C$23:$Q$78,8,FALSE)</f>
        <v>13.31</v>
      </c>
      <c r="T57" s="14" t="str">
        <f>VLOOKUP(D57,'Obs Conc_1'!$C$23:$Q$78,9,FALSE)</f>
        <v>OOR &lt;</v>
      </c>
      <c r="U57" s="15">
        <f>VLOOKUP(D57,'Obs Conc %CV_1'!$C$23:$Q$78,9,FALSE)</f>
        <v>0</v>
      </c>
      <c r="V57" s="14">
        <f>VLOOKUP(D57,'Obs Conc_1'!$C$23:$Q$78,10,FALSE)</f>
        <v>693.32</v>
      </c>
      <c r="W57" s="15">
        <f>VLOOKUP(D57,'Obs Conc %CV_1'!$C$23:$Q$78,10,FALSE)</f>
        <v>13.22</v>
      </c>
      <c r="X57" s="14" t="str">
        <f>VLOOKUP(D57,'Obs Conc_1'!$C$23:$Q$78,11,FALSE)</f>
        <v>OOR &lt;</v>
      </c>
      <c r="Y57" s="15">
        <f>VLOOKUP(D57,'Obs Conc %CV_1'!$C$23:$Q$78,11,FALSE)</f>
        <v>0</v>
      </c>
      <c r="Z57" s="14" t="str">
        <f>VLOOKUP(D57,'Obs Conc_1'!$C$23:$Q$78,12,FALSE)</f>
        <v>OOR &lt;</v>
      </c>
      <c r="AA57" s="15">
        <f>VLOOKUP(D57,'Obs Conc %CV_1'!$C$23:$Q$78,12,FALSE)</f>
        <v>0</v>
      </c>
      <c r="AB57" s="14" t="str">
        <f>VLOOKUP(D57,'Obs Conc_1'!$C$23:$Q$78,13,FALSE)</f>
        <v>OOR &lt;</v>
      </c>
      <c r="AC57" s="15">
        <f>VLOOKUP(D57,'Obs Conc %CV_1'!$C$23:$Q$78,13,FALSE)</f>
        <v>0</v>
      </c>
      <c r="AD57" s="14" t="str">
        <f>VLOOKUP(D57,'Obs Conc_1'!$C$23:$Q$78,14,FALSE)</f>
        <v>OOR &lt;</v>
      </c>
      <c r="AE57" s="15">
        <f>VLOOKUP(D57,'Obs Conc %CV_1'!$C$23:$Q$78,14,FALSE)</f>
        <v>0</v>
      </c>
      <c r="AF57" s="14" t="str">
        <f>VLOOKUP(D57,'Obs Conc_1'!$C$23:$Q$78,15,FALSE)</f>
        <v>OOR &lt;</v>
      </c>
      <c r="AG57" s="15">
        <f>VLOOKUP(D57,'Obs Conc %CV_1'!$C$23:$Q$78,15,FALSE)</f>
        <v>0</v>
      </c>
    </row>
    <row r="58" spans="1:33" s="1" customFormat="1" x14ac:dyDescent="0.2">
      <c r="A58" s="3" t="s">
        <v>3</v>
      </c>
      <c r="B58" s="3" t="s">
        <v>35</v>
      </c>
      <c r="C58" s="3" t="s">
        <v>59</v>
      </c>
      <c r="D58" s="6" t="s">
        <v>176</v>
      </c>
      <c r="E58" s="16" t="s">
        <v>0</v>
      </c>
      <c r="F58" s="17" t="str">
        <f>VLOOKUP(D58,'Obs Conc_2'!$C$23:$Q$78,2,FALSE)</f>
        <v>OOR &lt;</v>
      </c>
      <c r="G58" s="18">
        <f>VLOOKUP(D58,'Obs Conc %CV_2'!$C$23:$Q$78,2,FALSE)</f>
        <v>0</v>
      </c>
      <c r="H58" s="17" t="str">
        <f>VLOOKUP(F58,'Obs Conc_2'!$E$23:$S$78,3,FALSE)</f>
        <v>OOR &lt;</v>
      </c>
      <c r="I58" s="18">
        <f>VLOOKUP(D58,'Obs Conc %CV_2'!$C$23:$Q$78,3,FALSE)</f>
        <v>0</v>
      </c>
      <c r="J58" s="17" t="str">
        <f>VLOOKUP(D58,'Obs Conc_2'!$C$23:$Q$78,4,FALSE)</f>
        <v>OOR &lt;</v>
      </c>
      <c r="K58" s="18">
        <f>VLOOKUP(D58,'Obs Conc %CV_2'!$C$23:$Q$78,4,FALSE)</f>
        <v>0</v>
      </c>
      <c r="L58" s="17" t="str">
        <f>VLOOKUP(D58,'Obs Conc_2'!$C$23:$Q$78,5,FALSE)</f>
        <v>OOR &lt;</v>
      </c>
      <c r="M58" s="18">
        <f>VLOOKUP(D58,'Obs Conc %CV_2'!$C$23:$Q$78,5,FALSE)</f>
        <v>0</v>
      </c>
      <c r="N58" s="17" t="str">
        <f>VLOOKUP(D58,'Obs Conc_2'!$C$23:$Q$78,6,FALSE)</f>
        <v>OOR &lt;</v>
      </c>
      <c r="O58" s="18">
        <f>VLOOKUP(D58,'Obs Conc %CV_2'!$C$23:$Q$78,6,FALSE)</f>
        <v>0</v>
      </c>
      <c r="P58" s="17">
        <f>VLOOKUP(D58,'Obs Conc_2'!$C$23:$Q$78,7,FALSE)</f>
        <v>58.28</v>
      </c>
      <c r="Q58" s="18">
        <f>VLOOKUP(D58,'Obs Conc %CV_2'!$C$23:$Q$78,7,FALSE)</f>
        <v>5.79</v>
      </c>
      <c r="R58" s="17">
        <f>VLOOKUP(D58,'Obs Conc_2'!$C$23:$Q$78,8,FALSE)</f>
        <v>3.8</v>
      </c>
      <c r="S58" s="18">
        <f>VLOOKUP(D58,'Obs Conc %CV_2'!$C$23:$Q$78,8,FALSE)</f>
        <v>36.380000000000003</v>
      </c>
      <c r="T58" s="17" t="str">
        <f>VLOOKUP(D58,'Obs Conc_2'!$C$23:$Q$78,9,FALSE)</f>
        <v>OOR &lt;</v>
      </c>
      <c r="U58" s="18">
        <f>VLOOKUP(D58,'Obs Conc %CV_2'!$C$23:$Q$78,9,FALSE)</f>
        <v>0</v>
      </c>
      <c r="V58" s="17">
        <f>VLOOKUP(D58,'Obs Conc_2'!$C$23:$Q$78,10,FALSE)</f>
        <v>470.06</v>
      </c>
      <c r="W58" s="18">
        <f>VLOOKUP(D58,'Obs Conc %CV_2'!$C$23:$Q$78,10,FALSE)</f>
        <v>6.33</v>
      </c>
      <c r="X58" s="17" t="str">
        <f>VLOOKUP(D58,'Obs Conc_2'!$C$23:$Q$78,11,FALSE)</f>
        <v>OOR &lt;</v>
      </c>
      <c r="Y58" s="18">
        <f>VLOOKUP(D58,'Obs Conc %CV_2'!$C$23:$Q$78,11,FALSE)</f>
        <v>0</v>
      </c>
      <c r="Z58" s="17" t="str">
        <f>VLOOKUP(D58,'Obs Conc_2'!$C$23:$Q$78,12,FALSE)</f>
        <v>OOR &lt;</v>
      </c>
      <c r="AA58" s="18">
        <f>VLOOKUP(D58,'Obs Conc %CV_2'!$C$23:$Q$78,12,FALSE)</f>
        <v>0</v>
      </c>
      <c r="AB58" s="17" t="str">
        <f>VLOOKUP(D58,'Obs Conc_2'!$C$23:$Q$78,13,FALSE)</f>
        <v>OOR &lt;</v>
      </c>
      <c r="AC58" s="18">
        <f>VLOOKUP(D58,'Obs Conc %CV_2'!$C$23:$Q$78,13,FALSE)</f>
        <v>0</v>
      </c>
      <c r="AD58" s="17" t="str">
        <f>VLOOKUP(D58,'Obs Conc_2'!$C$23:$Q$78,14,FALSE)</f>
        <v>OOR &lt;</v>
      </c>
      <c r="AE58" s="18">
        <f>VLOOKUP(D58,'Obs Conc %CV_2'!$C$23:$Q$78,14,FALSE)</f>
        <v>0</v>
      </c>
      <c r="AF58" s="17" t="str">
        <f>VLOOKUP(D58,'Obs Conc_2'!$C$23:$Q$78,15,FALSE)</f>
        <v>OOR &lt;</v>
      </c>
      <c r="AG58" s="18">
        <f>VLOOKUP(D58,'Obs Conc %CV_2'!$C$23:$Q$78,15,FALSE)</f>
        <v>0</v>
      </c>
    </row>
    <row r="59" spans="1:33" x14ac:dyDescent="0.2">
      <c r="A59" s="2" t="s">
        <v>3</v>
      </c>
      <c r="B59" s="3" t="s">
        <v>35</v>
      </c>
      <c r="C59" s="2" t="s">
        <v>58</v>
      </c>
      <c r="D59" s="6" t="s">
        <v>177</v>
      </c>
      <c r="E59" s="12" t="s">
        <v>0</v>
      </c>
      <c r="F59" s="14" t="str">
        <f>VLOOKUP(D59,'Obs Conc_2'!$C$23:$Q$78,2,FALSE)</f>
        <v>OOR &lt;</v>
      </c>
      <c r="G59" s="15">
        <f>VLOOKUP(D59,'Obs Conc %CV_2'!$C$23:$Q$78,2,FALSE)</f>
        <v>0</v>
      </c>
      <c r="H59" s="14" t="str">
        <f>VLOOKUP(F59,'Obs Conc_2'!$E$23:$S$78,3,FALSE)</f>
        <v>OOR &lt;</v>
      </c>
      <c r="I59" s="15">
        <f>VLOOKUP(D59,'Obs Conc %CV_2'!$C$23:$Q$78,3,FALSE)</f>
        <v>0</v>
      </c>
      <c r="J59" s="14" t="str">
        <f>VLOOKUP(D59,'Obs Conc_2'!$C$23:$Q$78,4,FALSE)</f>
        <v>OOR &lt;</v>
      </c>
      <c r="K59" s="15">
        <f>VLOOKUP(D59,'Obs Conc %CV_2'!$C$23:$Q$78,4,FALSE)</f>
        <v>0</v>
      </c>
      <c r="L59" s="14" t="str">
        <f>VLOOKUP(D59,'Obs Conc_2'!$C$23:$Q$78,5,FALSE)</f>
        <v>OOR &lt;</v>
      </c>
      <c r="M59" s="15">
        <f>VLOOKUP(D59,'Obs Conc %CV_2'!$C$23:$Q$78,5,FALSE)</f>
        <v>0</v>
      </c>
      <c r="N59" s="14" t="str">
        <f>VLOOKUP(D59,'Obs Conc_2'!$C$23:$Q$78,6,FALSE)</f>
        <v>OOR &lt;</v>
      </c>
      <c r="O59" s="15">
        <f>VLOOKUP(D59,'Obs Conc %CV_2'!$C$23:$Q$78,6,FALSE)</f>
        <v>0</v>
      </c>
      <c r="P59" s="14">
        <f>VLOOKUP(D59,'Obs Conc_2'!$C$23:$Q$78,7,FALSE)</f>
        <v>62.01</v>
      </c>
      <c r="Q59" s="15">
        <f>VLOOKUP(D59,'Obs Conc %CV_2'!$C$23:$Q$78,7,FALSE)</f>
        <v>15.42</v>
      </c>
      <c r="R59" s="14">
        <f>VLOOKUP(D59,'Obs Conc_2'!$C$23:$Q$78,8,FALSE)</f>
        <v>3.06</v>
      </c>
      <c r="S59" s="15">
        <f>VLOOKUP(D59,'Obs Conc %CV_2'!$C$23:$Q$78,8,FALSE)</f>
        <v>61.68</v>
      </c>
      <c r="T59" s="14" t="str">
        <f>VLOOKUP(D59,'Obs Conc_2'!$C$23:$Q$78,9,FALSE)</f>
        <v>OOR &lt;</v>
      </c>
      <c r="U59" s="15">
        <f>VLOOKUP(D59,'Obs Conc %CV_2'!$C$23:$Q$78,9,FALSE)</f>
        <v>0</v>
      </c>
      <c r="V59" s="14">
        <f>VLOOKUP(D59,'Obs Conc_2'!$C$23:$Q$78,10,FALSE)</f>
        <v>506.1</v>
      </c>
      <c r="W59" s="15">
        <f>VLOOKUP(D59,'Obs Conc %CV_2'!$C$23:$Q$78,10,FALSE)</f>
        <v>5.5</v>
      </c>
      <c r="X59" s="14" t="str">
        <f>VLOOKUP(D59,'Obs Conc_2'!$C$23:$Q$78,11,FALSE)</f>
        <v>OOR &lt;</v>
      </c>
      <c r="Y59" s="15">
        <f>VLOOKUP(D59,'Obs Conc %CV_2'!$C$23:$Q$78,11,FALSE)</f>
        <v>0</v>
      </c>
      <c r="Z59" s="14" t="str">
        <f>VLOOKUP(D59,'Obs Conc_2'!$C$23:$Q$78,12,FALSE)</f>
        <v>OOR &lt;</v>
      </c>
      <c r="AA59" s="15">
        <f>VLOOKUP(D59,'Obs Conc %CV_2'!$C$23:$Q$78,12,FALSE)</f>
        <v>0</v>
      </c>
      <c r="AB59" s="14" t="str">
        <f>VLOOKUP(D59,'Obs Conc_2'!$C$23:$Q$78,13,FALSE)</f>
        <v>OOR &lt;</v>
      </c>
      <c r="AC59" s="15">
        <f>VLOOKUP(D59,'Obs Conc %CV_2'!$C$23:$Q$78,13,FALSE)</f>
        <v>0</v>
      </c>
      <c r="AD59" s="14" t="str">
        <f>VLOOKUP(D59,'Obs Conc_2'!$C$23:$Q$78,14,FALSE)</f>
        <v>OOR &lt;</v>
      </c>
      <c r="AE59" s="15">
        <f>VLOOKUP(D59,'Obs Conc %CV_2'!$C$23:$Q$78,14,FALSE)</f>
        <v>0</v>
      </c>
      <c r="AF59" s="14" t="str">
        <f>VLOOKUP(D59,'Obs Conc_2'!$C$23:$Q$78,15,FALSE)</f>
        <v>OOR &lt;</v>
      </c>
      <c r="AG59" s="15">
        <f>VLOOKUP(D59,'Obs Conc %CV_2'!$C$23:$Q$78,15,FALSE)</f>
        <v>0</v>
      </c>
    </row>
    <row r="60" spans="1:33" x14ac:dyDescent="0.2">
      <c r="A60" s="2" t="s">
        <v>3</v>
      </c>
      <c r="B60" s="3" t="s">
        <v>35</v>
      </c>
      <c r="C60" s="2" t="s">
        <v>57</v>
      </c>
      <c r="D60" s="6" t="s">
        <v>178</v>
      </c>
      <c r="E60" s="12" t="s">
        <v>0</v>
      </c>
      <c r="F60" s="14" t="str">
        <f>VLOOKUP(D60,'Obs Conc_2'!$C$23:$Q$78,2,FALSE)</f>
        <v>OOR &lt;</v>
      </c>
      <c r="G60" s="15">
        <f>VLOOKUP(D60,'Obs Conc %CV_2'!$C$23:$Q$78,2,FALSE)</f>
        <v>0</v>
      </c>
      <c r="H60" s="14" t="str">
        <f>VLOOKUP(F60,'Obs Conc_2'!$E$23:$S$78,3,FALSE)</f>
        <v>OOR &lt;</v>
      </c>
      <c r="I60" s="15">
        <f>VLOOKUP(D60,'Obs Conc %CV_2'!$C$23:$Q$78,3,FALSE)</f>
        <v>0</v>
      </c>
      <c r="J60" s="14" t="str">
        <f>VLOOKUP(D60,'Obs Conc_2'!$C$23:$Q$78,4,FALSE)</f>
        <v>OOR &lt;</v>
      </c>
      <c r="K60" s="15">
        <f>VLOOKUP(D60,'Obs Conc %CV_2'!$C$23:$Q$78,4,FALSE)</f>
        <v>0</v>
      </c>
      <c r="L60" s="14" t="str">
        <f>VLOOKUP(D60,'Obs Conc_2'!$C$23:$Q$78,5,FALSE)</f>
        <v>OOR &lt;</v>
      </c>
      <c r="M60" s="15">
        <f>VLOOKUP(D60,'Obs Conc %CV_2'!$C$23:$Q$78,5,FALSE)</f>
        <v>0</v>
      </c>
      <c r="N60" s="14" t="str">
        <f>VLOOKUP(D60,'Obs Conc_2'!$C$23:$Q$78,6,FALSE)</f>
        <v>OOR &lt;</v>
      </c>
      <c r="O60" s="15">
        <f>VLOOKUP(D60,'Obs Conc %CV_2'!$C$23:$Q$78,6,FALSE)</f>
        <v>0</v>
      </c>
      <c r="P60" s="14">
        <f>VLOOKUP(D60,'Obs Conc_2'!$C$23:$Q$78,7,FALSE)</f>
        <v>16.93</v>
      </c>
      <c r="Q60" s="15">
        <f>VLOOKUP(D60,'Obs Conc %CV_2'!$C$23:$Q$78,7,FALSE)</f>
        <v>0</v>
      </c>
      <c r="R60" s="14">
        <f>VLOOKUP(D60,'Obs Conc_2'!$C$23:$Q$78,8,FALSE)</f>
        <v>4.34</v>
      </c>
      <c r="S60" s="15">
        <f>VLOOKUP(D60,'Obs Conc %CV_2'!$C$23:$Q$78,8,FALSE)</f>
        <v>40.590000000000003</v>
      </c>
      <c r="T60" s="14" t="str">
        <f>VLOOKUP(D60,'Obs Conc_2'!$C$23:$Q$78,9,FALSE)</f>
        <v>OOR &lt;</v>
      </c>
      <c r="U60" s="15">
        <f>VLOOKUP(D60,'Obs Conc %CV_2'!$C$23:$Q$78,9,FALSE)</f>
        <v>0</v>
      </c>
      <c r="V60" s="14">
        <f>VLOOKUP(D60,'Obs Conc_2'!$C$23:$Q$78,10,FALSE)</f>
        <v>695.43</v>
      </c>
      <c r="W60" s="15">
        <f>VLOOKUP(D60,'Obs Conc %CV_2'!$C$23:$Q$78,10,FALSE)</f>
        <v>3.2</v>
      </c>
      <c r="X60" s="14" t="str">
        <f>VLOOKUP(D60,'Obs Conc_2'!$C$23:$Q$78,11,FALSE)</f>
        <v>OOR &lt;</v>
      </c>
      <c r="Y60" s="15">
        <f>VLOOKUP(D60,'Obs Conc %CV_2'!$C$23:$Q$78,11,FALSE)</f>
        <v>0</v>
      </c>
      <c r="Z60" s="14" t="str">
        <f>VLOOKUP(D60,'Obs Conc_2'!$C$23:$Q$78,12,FALSE)</f>
        <v>OOR &lt;</v>
      </c>
      <c r="AA60" s="15">
        <f>VLOOKUP(D60,'Obs Conc %CV_2'!$C$23:$Q$78,12,FALSE)</f>
        <v>0</v>
      </c>
      <c r="AB60" s="14" t="str">
        <f>VLOOKUP(D60,'Obs Conc_2'!$C$23:$Q$78,13,FALSE)</f>
        <v>OOR &lt;</v>
      </c>
      <c r="AC60" s="15">
        <f>VLOOKUP(D60,'Obs Conc %CV_2'!$C$23:$Q$78,13,FALSE)</f>
        <v>0</v>
      </c>
      <c r="AD60" s="14" t="str">
        <f>VLOOKUP(D60,'Obs Conc_2'!$C$23:$Q$78,14,FALSE)</f>
        <v>OOR &lt;</v>
      </c>
      <c r="AE60" s="15">
        <f>VLOOKUP(D60,'Obs Conc %CV_2'!$C$23:$Q$78,14,FALSE)</f>
        <v>0</v>
      </c>
      <c r="AF60" s="14" t="str">
        <f>VLOOKUP(D60,'Obs Conc_2'!$C$23:$Q$78,15,FALSE)</f>
        <v>OOR &lt;</v>
      </c>
      <c r="AG60" s="15">
        <f>VLOOKUP(D60,'Obs Conc %CV_2'!$C$23:$Q$78,15,FALSE)</f>
        <v>0</v>
      </c>
    </row>
    <row r="61" spans="1:33" x14ac:dyDescent="0.2">
      <c r="A61" s="2" t="s">
        <v>3</v>
      </c>
      <c r="B61" s="3" t="s">
        <v>35</v>
      </c>
      <c r="C61" s="2" t="s">
        <v>56</v>
      </c>
      <c r="D61" s="6" t="s">
        <v>179</v>
      </c>
      <c r="E61" s="12" t="s">
        <v>0</v>
      </c>
      <c r="F61" s="14" t="str">
        <f>VLOOKUP(D61,'Obs Conc_2'!$C$23:$Q$78,2,FALSE)</f>
        <v>OOR &lt;</v>
      </c>
      <c r="G61" s="15">
        <f>VLOOKUP(D61,'Obs Conc %CV_2'!$C$23:$Q$78,2,FALSE)</f>
        <v>0</v>
      </c>
      <c r="H61" s="14" t="str">
        <f>VLOOKUP(F61,'Obs Conc_2'!$E$23:$S$78,3,FALSE)</f>
        <v>OOR &lt;</v>
      </c>
      <c r="I61" s="15">
        <f>VLOOKUP(D61,'Obs Conc %CV_2'!$C$23:$Q$78,3,FALSE)</f>
        <v>0</v>
      </c>
      <c r="J61" s="14" t="str">
        <f>VLOOKUP(D61,'Obs Conc_2'!$C$23:$Q$78,4,FALSE)</f>
        <v>OOR &lt;</v>
      </c>
      <c r="K61" s="15">
        <f>VLOOKUP(D61,'Obs Conc %CV_2'!$C$23:$Q$78,4,FALSE)</f>
        <v>0</v>
      </c>
      <c r="L61" s="14" t="str">
        <f>VLOOKUP(D61,'Obs Conc_2'!$C$23:$Q$78,5,FALSE)</f>
        <v>OOR &lt;</v>
      </c>
      <c r="M61" s="15">
        <f>VLOOKUP(D61,'Obs Conc %CV_2'!$C$23:$Q$78,5,FALSE)</f>
        <v>0</v>
      </c>
      <c r="N61" s="14" t="str">
        <f>VLOOKUP(D61,'Obs Conc_2'!$C$23:$Q$78,6,FALSE)</f>
        <v>OOR &lt;</v>
      </c>
      <c r="O61" s="15">
        <f>VLOOKUP(D61,'Obs Conc %CV_2'!$C$23:$Q$78,6,FALSE)</f>
        <v>0</v>
      </c>
      <c r="P61" s="14">
        <f>VLOOKUP(D61,'Obs Conc_2'!$C$23:$Q$78,7,FALSE)</f>
        <v>173.35</v>
      </c>
      <c r="Q61" s="15">
        <f>VLOOKUP(D61,'Obs Conc %CV_2'!$C$23:$Q$78,7,FALSE)</f>
        <v>1.9</v>
      </c>
      <c r="R61" s="14">
        <f>VLOOKUP(D61,'Obs Conc_2'!$C$23:$Q$78,8,FALSE)</f>
        <v>50.67</v>
      </c>
      <c r="S61" s="15">
        <f>VLOOKUP(D61,'Obs Conc %CV_2'!$C$23:$Q$78,8,FALSE)</f>
        <v>0.46</v>
      </c>
      <c r="T61" s="14">
        <f>VLOOKUP(D61,'Obs Conc_2'!$C$23:$Q$78,9,FALSE)</f>
        <v>2.25</v>
      </c>
      <c r="U61" s="15">
        <f>VLOOKUP(D61,'Obs Conc %CV_2'!$C$23:$Q$78,9,FALSE)</f>
        <v>45.16</v>
      </c>
      <c r="V61" s="14">
        <f>VLOOKUP(D61,'Obs Conc_2'!$C$23:$Q$78,10,FALSE)</f>
        <v>699.72</v>
      </c>
      <c r="W61" s="15">
        <f>VLOOKUP(D61,'Obs Conc %CV_2'!$C$23:$Q$78,10,FALSE)</f>
        <v>10.81</v>
      </c>
      <c r="X61" s="14" t="str">
        <f>VLOOKUP(D61,'Obs Conc_2'!$C$23:$Q$78,11,FALSE)</f>
        <v>OOR &lt;</v>
      </c>
      <c r="Y61" s="15">
        <f>VLOOKUP(D61,'Obs Conc %CV_2'!$C$23:$Q$78,11,FALSE)</f>
        <v>0</v>
      </c>
      <c r="Z61" s="14" t="str">
        <f>VLOOKUP(D61,'Obs Conc_2'!$C$23:$Q$78,12,FALSE)</f>
        <v>OOR &lt;</v>
      </c>
      <c r="AA61" s="15">
        <f>VLOOKUP(D61,'Obs Conc %CV_2'!$C$23:$Q$78,12,FALSE)</f>
        <v>0</v>
      </c>
      <c r="AB61" s="14" t="str">
        <f>VLOOKUP(D61,'Obs Conc_2'!$C$23:$Q$78,13,FALSE)</f>
        <v>OOR &lt;</v>
      </c>
      <c r="AC61" s="15">
        <f>VLOOKUP(D61,'Obs Conc %CV_2'!$C$23:$Q$78,13,FALSE)</f>
        <v>0</v>
      </c>
      <c r="AD61" s="14" t="str">
        <f>VLOOKUP(D61,'Obs Conc_2'!$C$23:$Q$78,14,FALSE)</f>
        <v>OOR &lt;</v>
      </c>
      <c r="AE61" s="15">
        <f>VLOOKUP(D61,'Obs Conc %CV_2'!$C$23:$Q$78,14,FALSE)</f>
        <v>0</v>
      </c>
      <c r="AF61" s="14" t="str">
        <f>VLOOKUP(D61,'Obs Conc_2'!$C$23:$Q$78,15,FALSE)</f>
        <v>OOR &lt;</v>
      </c>
      <c r="AG61" s="15">
        <f>VLOOKUP(D61,'Obs Conc %CV_2'!$C$23:$Q$78,15,FALSE)</f>
        <v>0</v>
      </c>
    </row>
    <row r="62" spans="1:33" x14ac:dyDescent="0.2">
      <c r="A62" s="2" t="s">
        <v>3</v>
      </c>
      <c r="B62" s="3" t="s">
        <v>35</v>
      </c>
      <c r="C62" s="2" t="s">
        <v>55</v>
      </c>
      <c r="D62" s="6" t="s">
        <v>180</v>
      </c>
      <c r="E62" s="12" t="s">
        <v>0</v>
      </c>
      <c r="F62" s="14" t="str">
        <f>VLOOKUP(D62,'Obs Conc_2'!$C$23:$Q$78,2,FALSE)</f>
        <v>OOR &lt;</v>
      </c>
      <c r="G62" s="15">
        <f>VLOOKUP(D62,'Obs Conc %CV_2'!$C$23:$Q$78,2,FALSE)</f>
        <v>0</v>
      </c>
      <c r="H62" s="14" t="str">
        <f>VLOOKUP(F62,'Obs Conc_2'!$E$23:$S$78,3,FALSE)</f>
        <v>OOR &lt;</v>
      </c>
      <c r="I62" s="15">
        <f>VLOOKUP(D62,'Obs Conc %CV_2'!$C$23:$Q$78,3,FALSE)</f>
        <v>0</v>
      </c>
      <c r="J62" s="14" t="str">
        <f>VLOOKUP(D62,'Obs Conc_2'!$C$23:$Q$78,4,FALSE)</f>
        <v>OOR &lt;</v>
      </c>
      <c r="K62" s="15">
        <f>VLOOKUP(D62,'Obs Conc %CV_2'!$C$23:$Q$78,4,FALSE)</f>
        <v>0</v>
      </c>
      <c r="L62" s="14" t="str">
        <f>VLOOKUP(D62,'Obs Conc_2'!$C$23:$Q$78,5,FALSE)</f>
        <v>OOR &lt;</v>
      </c>
      <c r="M62" s="15">
        <f>VLOOKUP(D62,'Obs Conc %CV_2'!$C$23:$Q$78,5,FALSE)</f>
        <v>0</v>
      </c>
      <c r="N62" s="14" t="str">
        <f>VLOOKUP(D62,'Obs Conc_2'!$C$23:$Q$78,6,FALSE)</f>
        <v>OOR &lt;</v>
      </c>
      <c r="O62" s="15">
        <f>VLOOKUP(D62,'Obs Conc %CV_2'!$C$23:$Q$78,6,FALSE)</f>
        <v>0</v>
      </c>
      <c r="P62" s="14">
        <f>VLOOKUP(D62,'Obs Conc_2'!$C$23:$Q$78,7,FALSE)</f>
        <v>12.76</v>
      </c>
      <c r="Q62" s="15">
        <f>VLOOKUP(D62,'Obs Conc %CV_2'!$C$23:$Q$78,7,FALSE)</f>
        <v>28.47</v>
      </c>
      <c r="R62" s="14" t="str">
        <f>VLOOKUP(D62,'Obs Conc_2'!$C$23:$Q$78,8,FALSE)</f>
        <v>*1.37</v>
      </c>
      <c r="S62" s="15">
        <f>VLOOKUP(D62,'Obs Conc %CV_2'!$C$23:$Q$78,8,FALSE)</f>
        <v>121.82</v>
      </c>
      <c r="T62" s="14" t="str">
        <f>VLOOKUP(D62,'Obs Conc_2'!$C$23:$Q$78,9,FALSE)</f>
        <v>OOR &lt;</v>
      </c>
      <c r="U62" s="15">
        <f>VLOOKUP(D62,'Obs Conc %CV_2'!$C$23:$Q$78,9,FALSE)</f>
        <v>0</v>
      </c>
      <c r="V62" s="14">
        <f>VLOOKUP(D62,'Obs Conc_2'!$C$23:$Q$78,10,FALSE)</f>
        <v>456.5</v>
      </c>
      <c r="W62" s="15">
        <f>VLOOKUP(D62,'Obs Conc %CV_2'!$C$23:$Q$78,10,FALSE)</f>
        <v>4.6399999999999997</v>
      </c>
      <c r="X62" s="14" t="str">
        <f>VLOOKUP(D62,'Obs Conc_2'!$C$23:$Q$78,11,FALSE)</f>
        <v>OOR &lt;</v>
      </c>
      <c r="Y62" s="15">
        <f>VLOOKUP(D62,'Obs Conc %CV_2'!$C$23:$Q$78,11,FALSE)</f>
        <v>0</v>
      </c>
      <c r="Z62" s="14" t="str">
        <f>VLOOKUP(D62,'Obs Conc_2'!$C$23:$Q$78,12,FALSE)</f>
        <v>OOR &lt;</v>
      </c>
      <c r="AA62" s="15">
        <f>VLOOKUP(D62,'Obs Conc %CV_2'!$C$23:$Q$78,12,FALSE)</f>
        <v>0</v>
      </c>
      <c r="AB62" s="14" t="str">
        <f>VLOOKUP(D62,'Obs Conc_2'!$C$23:$Q$78,13,FALSE)</f>
        <v>OOR &lt;</v>
      </c>
      <c r="AC62" s="15">
        <f>VLOOKUP(D62,'Obs Conc %CV_2'!$C$23:$Q$78,13,FALSE)</f>
        <v>0</v>
      </c>
      <c r="AD62" s="14" t="str">
        <f>VLOOKUP(D62,'Obs Conc_2'!$C$23:$Q$78,14,FALSE)</f>
        <v>OOR &lt;</v>
      </c>
      <c r="AE62" s="15">
        <f>VLOOKUP(D62,'Obs Conc %CV_2'!$C$23:$Q$78,14,FALSE)</f>
        <v>0</v>
      </c>
      <c r="AF62" s="14" t="str">
        <f>VLOOKUP(D62,'Obs Conc_2'!$C$23:$Q$78,15,FALSE)</f>
        <v>OOR &lt;</v>
      </c>
      <c r="AG62" s="15">
        <f>VLOOKUP(D62,'Obs Conc %CV_2'!$C$23:$Q$78,15,FALSE)</f>
        <v>0</v>
      </c>
    </row>
    <row r="63" spans="1:33" x14ac:dyDescent="0.2">
      <c r="A63" s="2" t="s">
        <v>3</v>
      </c>
      <c r="B63" s="3" t="s">
        <v>35</v>
      </c>
      <c r="C63" s="2" t="s">
        <v>54</v>
      </c>
      <c r="D63" s="6" t="s">
        <v>181</v>
      </c>
      <c r="E63" s="12" t="s">
        <v>0</v>
      </c>
      <c r="F63" s="14" t="str">
        <f>VLOOKUP(D63,'Obs Conc_2'!$C$23:$Q$78,2,FALSE)</f>
        <v>OOR &lt;</v>
      </c>
      <c r="G63" s="15">
        <f>VLOOKUP(D63,'Obs Conc %CV_2'!$C$23:$Q$78,2,FALSE)</f>
        <v>0</v>
      </c>
      <c r="H63" s="14" t="str">
        <f>VLOOKUP(F63,'Obs Conc_2'!$E$23:$S$78,3,FALSE)</f>
        <v>OOR &lt;</v>
      </c>
      <c r="I63" s="15">
        <f>VLOOKUP(D63,'Obs Conc %CV_2'!$C$23:$Q$78,3,FALSE)</f>
        <v>0</v>
      </c>
      <c r="J63" s="14" t="str">
        <f>VLOOKUP(D63,'Obs Conc_2'!$C$23:$Q$78,4,FALSE)</f>
        <v>OOR &lt;</v>
      </c>
      <c r="K63" s="15">
        <f>VLOOKUP(D63,'Obs Conc %CV_2'!$C$23:$Q$78,4,FALSE)</f>
        <v>0</v>
      </c>
      <c r="L63" s="14" t="str">
        <f>VLOOKUP(D63,'Obs Conc_2'!$C$23:$Q$78,5,FALSE)</f>
        <v>OOR &lt;</v>
      </c>
      <c r="M63" s="15">
        <f>VLOOKUP(D63,'Obs Conc %CV_2'!$C$23:$Q$78,5,FALSE)</f>
        <v>0</v>
      </c>
      <c r="N63" s="14" t="str">
        <f>VLOOKUP(D63,'Obs Conc_2'!$C$23:$Q$78,6,FALSE)</f>
        <v>OOR &lt;</v>
      </c>
      <c r="O63" s="15">
        <f>VLOOKUP(D63,'Obs Conc %CV_2'!$C$23:$Q$78,6,FALSE)</f>
        <v>0</v>
      </c>
      <c r="P63" s="14">
        <f>VLOOKUP(D63,'Obs Conc_2'!$C$23:$Q$78,7,FALSE)</f>
        <v>448.86</v>
      </c>
      <c r="Q63" s="15">
        <f>VLOOKUP(D63,'Obs Conc %CV_2'!$C$23:$Q$78,7,FALSE)</f>
        <v>9.25</v>
      </c>
      <c r="R63" s="14">
        <f>VLOOKUP(D63,'Obs Conc_2'!$C$23:$Q$78,8,FALSE)</f>
        <v>26.75</v>
      </c>
      <c r="S63" s="15">
        <f>VLOOKUP(D63,'Obs Conc %CV_2'!$C$23:$Q$78,8,FALSE)</f>
        <v>19.43</v>
      </c>
      <c r="T63" s="14">
        <f>VLOOKUP(D63,'Obs Conc_2'!$C$23:$Q$78,9,FALSE)</f>
        <v>19.41</v>
      </c>
      <c r="U63" s="15">
        <f>VLOOKUP(D63,'Obs Conc %CV_2'!$C$23:$Q$78,9,FALSE)</f>
        <v>11.62</v>
      </c>
      <c r="V63" s="14">
        <f>VLOOKUP(D63,'Obs Conc_2'!$C$23:$Q$78,10,FALSE)</f>
        <v>682.55</v>
      </c>
      <c r="W63" s="15">
        <f>VLOOKUP(D63,'Obs Conc %CV_2'!$C$23:$Q$78,10,FALSE)</f>
        <v>11.06</v>
      </c>
      <c r="X63" s="14" t="str">
        <f>VLOOKUP(D63,'Obs Conc_2'!$C$23:$Q$78,11,FALSE)</f>
        <v>OOR &lt;</v>
      </c>
      <c r="Y63" s="15">
        <f>VLOOKUP(D63,'Obs Conc %CV_2'!$C$23:$Q$78,11,FALSE)</f>
        <v>0</v>
      </c>
      <c r="Z63" s="14" t="str">
        <f>VLOOKUP(D63,'Obs Conc_2'!$C$23:$Q$78,12,FALSE)</f>
        <v>OOR &lt;</v>
      </c>
      <c r="AA63" s="15">
        <f>VLOOKUP(D63,'Obs Conc %CV_2'!$C$23:$Q$78,12,FALSE)</f>
        <v>0</v>
      </c>
      <c r="AB63" s="14" t="str">
        <f>VLOOKUP(D63,'Obs Conc_2'!$C$23:$Q$78,13,FALSE)</f>
        <v>OOR &lt;</v>
      </c>
      <c r="AC63" s="15">
        <f>VLOOKUP(D63,'Obs Conc %CV_2'!$C$23:$Q$78,13,FALSE)</f>
        <v>0</v>
      </c>
      <c r="AD63" s="14" t="str">
        <f>VLOOKUP(D63,'Obs Conc_2'!$C$23:$Q$78,14,FALSE)</f>
        <v>OOR &lt;</v>
      </c>
      <c r="AE63" s="15">
        <f>VLOOKUP(D63,'Obs Conc %CV_2'!$C$23:$Q$78,14,FALSE)</f>
        <v>0</v>
      </c>
      <c r="AF63" s="14" t="str">
        <f>VLOOKUP(D63,'Obs Conc_2'!$C$23:$Q$78,15,FALSE)</f>
        <v>OOR &lt;</v>
      </c>
      <c r="AG63" s="15">
        <f>VLOOKUP(D63,'Obs Conc %CV_2'!$C$23:$Q$78,15,FALSE)</f>
        <v>0</v>
      </c>
    </row>
    <row r="64" spans="1:33" x14ac:dyDescent="0.2">
      <c r="A64" s="2" t="s">
        <v>3</v>
      </c>
      <c r="B64" s="3" t="s">
        <v>35</v>
      </c>
      <c r="C64" s="2" t="s">
        <v>53</v>
      </c>
      <c r="D64" s="6" t="s">
        <v>182</v>
      </c>
      <c r="E64" s="12" t="s">
        <v>0</v>
      </c>
      <c r="F64" s="14" t="str">
        <f>VLOOKUP(D64,'Obs Conc_2'!$C$23:$Q$78,2,FALSE)</f>
        <v>OOR &lt;</v>
      </c>
      <c r="G64" s="15">
        <f>VLOOKUP(D64,'Obs Conc %CV_2'!$C$23:$Q$78,2,FALSE)</f>
        <v>0</v>
      </c>
      <c r="H64" s="14" t="str">
        <f>VLOOKUP(F64,'Obs Conc_2'!$E$23:$S$78,3,FALSE)</f>
        <v>OOR &lt;</v>
      </c>
      <c r="I64" s="15">
        <f>VLOOKUP(D64,'Obs Conc %CV_2'!$C$23:$Q$78,3,FALSE)</f>
        <v>0</v>
      </c>
      <c r="J64" s="14" t="str">
        <f>VLOOKUP(D64,'Obs Conc_2'!$C$23:$Q$78,4,FALSE)</f>
        <v>OOR &lt;</v>
      </c>
      <c r="K64" s="15">
        <f>VLOOKUP(D64,'Obs Conc %CV_2'!$C$23:$Q$78,4,FALSE)</f>
        <v>0</v>
      </c>
      <c r="L64" s="14" t="str">
        <f>VLOOKUP(D64,'Obs Conc_2'!$C$23:$Q$78,5,FALSE)</f>
        <v>OOR &lt;</v>
      </c>
      <c r="M64" s="15">
        <f>VLOOKUP(D64,'Obs Conc %CV_2'!$C$23:$Q$78,5,FALSE)</f>
        <v>0</v>
      </c>
      <c r="N64" s="14" t="str">
        <f>VLOOKUP(D64,'Obs Conc_2'!$C$23:$Q$78,6,FALSE)</f>
        <v>OOR &lt;</v>
      </c>
      <c r="O64" s="15">
        <f>VLOOKUP(D64,'Obs Conc %CV_2'!$C$23:$Q$78,6,FALSE)</f>
        <v>0</v>
      </c>
      <c r="P64" s="14">
        <f>VLOOKUP(D64,'Obs Conc_2'!$C$23:$Q$78,7,FALSE)</f>
        <v>268.45999999999998</v>
      </c>
      <c r="Q64" s="15">
        <f>VLOOKUP(D64,'Obs Conc %CV_2'!$C$23:$Q$78,7,FALSE)</f>
        <v>13.77</v>
      </c>
      <c r="R64" s="14">
        <f>VLOOKUP(D64,'Obs Conc_2'!$C$23:$Q$78,8,FALSE)</f>
        <v>12.5</v>
      </c>
      <c r="S64" s="15">
        <f>VLOOKUP(D64,'Obs Conc %CV_2'!$C$23:$Q$78,8,FALSE)</f>
        <v>18.32</v>
      </c>
      <c r="T64" s="14">
        <f>VLOOKUP(D64,'Obs Conc_2'!$C$23:$Q$78,9,FALSE)</f>
        <v>14.51</v>
      </c>
      <c r="U64" s="15">
        <f>VLOOKUP(D64,'Obs Conc %CV_2'!$C$23:$Q$78,9,FALSE)</f>
        <v>11.45</v>
      </c>
      <c r="V64" s="14">
        <f>VLOOKUP(D64,'Obs Conc_2'!$C$23:$Q$78,10,FALSE)</f>
        <v>481.29</v>
      </c>
      <c r="W64" s="15">
        <f>VLOOKUP(D64,'Obs Conc %CV_2'!$C$23:$Q$78,10,FALSE)</f>
        <v>12.51</v>
      </c>
      <c r="X64" s="14" t="str">
        <f>VLOOKUP(D64,'Obs Conc_2'!$C$23:$Q$78,11,FALSE)</f>
        <v>OOR &lt;</v>
      </c>
      <c r="Y64" s="15">
        <f>VLOOKUP(D64,'Obs Conc %CV_2'!$C$23:$Q$78,11,FALSE)</f>
        <v>0</v>
      </c>
      <c r="Z64" s="14" t="str">
        <f>VLOOKUP(D64,'Obs Conc_2'!$C$23:$Q$78,12,FALSE)</f>
        <v>OOR &lt;</v>
      </c>
      <c r="AA64" s="15">
        <f>VLOOKUP(D64,'Obs Conc %CV_2'!$C$23:$Q$78,12,FALSE)</f>
        <v>0</v>
      </c>
      <c r="AB64" s="14" t="str">
        <f>VLOOKUP(D64,'Obs Conc_2'!$C$23:$Q$78,13,FALSE)</f>
        <v>OOR &lt;</v>
      </c>
      <c r="AC64" s="15">
        <f>VLOOKUP(D64,'Obs Conc %CV_2'!$C$23:$Q$78,13,FALSE)</f>
        <v>0</v>
      </c>
      <c r="AD64" s="14" t="str">
        <f>VLOOKUP(D64,'Obs Conc_2'!$C$23:$Q$78,14,FALSE)</f>
        <v>OOR &lt;</v>
      </c>
      <c r="AE64" s="15">
        <f>VLOOKUP(D64,'Obs Conc %CV_2'!$C$23:$Q$78,14,FALSE)</f>
        <v>0</v>
      </c>
      <c r="AF64" s="14" t="str">
        <f>VLOOKUP(D64,'Obs Conc_2'!$C$23:$Q$78,15,FALSE)</f>
        <v>OOR &lt;</v>
      </c>
      <c r="AG64" s="15">
        <f>VLOOKUP(D64,'Obs Conc %CV_2'!$C$23:$Q$78,15,FALSE)</f>
        <v>0</v>
      </c>
    </row>
    <row r="65" spans="1:33" x14ac:dyDescent="0.2">
      <c r="A65" s="2" t="s">
        <v>3</v>
      </c>
      <c r="B65" s="3" t="s">
        <v>35</v>
      </c>
      <c r="C65" s="2" t="s">
        <v>52</v>
      </c>
      <c r="D65" s="6" t="s">
        <v>183</v>
      </c>
      <c r="E65" s="12" t="s">
        <v>0</v>
      </c>
      <c r="F65" s="14" t="str">
        <f>VLOOKUP(D65,'Obs Conc_2'!$C$23:$Q$78,2,FALSE)</f>
        <v>OOR &lt;</v>
      </c>
      <c r="G65" s="15">
        <f>VLOOKUP(D65,'Obs Conc %CV_2'!$C$23:$Q$78,2,FALSE)</f>
        <v>0</v>
      </c>
      <c r="H65" s="14" t="str">
        <f>VLOOKUP(F65,'Obs Conc_2'!$E$23:$S$78,3,FALSE)</f>
        <v>OOR &lt;</v>
      </c>
      <c r="I65" s="15">
        <f>VLOOKUP(D65,'Obs Conc %CV_2'!$C$23:$Q$78,3,FALSE)</f>
        <v>0</v>
      </c>
      <c r="J65" s="14" t="str">
        <f>VLOOKUP(D65,'Obs Conc_2'!$C$23:$Q$78,4,FALSE)</f>
        <v>OOR &lt;</v>
      </c>
      <c r="K65" s="15">
        <f>VLOOKUP(D65,'Obs Conc %CV_2'!$C$23:$Q$78,4,FALSE)</f>
        <v>0</v>
      </c>
      <c r="L65" s="14" t="str">
        <f>VLOOKUP(D65,'Obs Conc_2'!$C$23:$Q$78,5,FALSE)</f>
        <v>OOR &lt;</v>
      </c>
      <c r="M65" s="15">
        <f>VLOOKUP(D65,'Obs Conc %CV_2'!$C$23:$Q$78,5,FALSE)</f>
        <v>0</v>
      </c>
      <c r="N65" s="14" t="str">
        <f>VLOOKUP(D65,'Obs Conc_2'!$C$23:$Q$78,6,FALSE)</f>
        <v>OOR &lt;</v>
      </c>
      <c r="O65" s="15">
        <f>VLOOKUP(D65,'Obs Conc %CV_2'!$C$23:$Q$78,6,FALSE)</f>
        <v>0</v>
      </c>
      <c r="P65" s="14">
        <f>VLOOKUP(D65,'Obs Conc_2'!$C$23:$Q$78,7,FALSE)</f>
        <v>89.57</v>
      </c>
      <c r="Q65" s="15">
        <f>VLOOKUP(D65,'Obs Conc %CV_2'!$C$23:$Q$78,7,FALSE)</f>
        <v>22.29</v>
      </c>
      <c r="R65" s="14">
        <f>VLOOKUP(D65,'Obs Conc_2'!$C$23:$Q$78,8,FALSE)</f>
        <v>17.82</v>
      </c>
      <c r="S65" s="15">
        <f>VLOOKUP(D65,'Obs Conc %CV_2'!$C$23:$Q$78,8,FALSE)</f>
        <v>5.54</v>
      </c>
      <c r="T65" s="14" t="str">
        <f>VLOOKUP(D65,'Obs Conc_2'!$C$23:$Q$78,9,FALSE)</f>
        <v>OOR &lt;</v>
      </c>
      <c r="U65" s="15">
        <f>VLOOKUP(D65,'Obs Conc %CV_2'!$C$23:$Q$78,9,FALSE)</f>
        <v>0</v>
      </c>
      <c r="V65" s="14">
        <f>VLOOKUP(D65,'Obs Conc_2'!$C$23:$Q$78,10,FALSE)</f>
        <v>572.75</v>
      </c>
      <c r="W65" s="15">
        <f>VLOOKUP(D65,'Obs Conc %CV_2'!$C$23:$Q$78,10,FALSE)</f>
        <v>3.72</v>
      </c>
      <c r="X65" s="14" t="str">
        <f>VLOOKUP(D65,'Obs Conc_2'!$C$23:$Q$78,11,FALSE)</f>
        <v>OOR &lt;</v>
      </c>
      <c r="Y65" s="15">
        <f>VLOOKUP(D65,'Obs Conc %CV_2'!$C$23:$Q$78,11,FALSE)</f>
        <v>0</v>
      </c>
      <c r="Z65" s="14" t="str">
        <f>VLOOKUP(D65,'Obs Conc_2'!$C$23:$Q$78,12,FALSE)</f>
        <v>OOR &lt;</v>
      </c>
      <c r="AA65" s="15">
        <f>VLOOKUP(D65,'Obs Conc %CV_2'!$C$23:$Q$78,12,FALSE)</f>
        <v>0</v>
      </c>
      <c r="AB65" s="14" t="str">
        <f>VLOOKUP(D65,'Obs Conc_2'!$C$23:$Q$78,13,FALSE)</f>
        <v>OOR &lt;</v>
      </c>
      <c r="AC65" s="15">
        <f>VLOOKUP(D65,'Obs Conc %CV_2'!$C$23:$Q$78,13,FALSE)</f>
        <v>0</v>
      </c>
      <c r="AD65" s="14" t="str">
        <f>VLOOKUP(D65,'Obs Conc_2'!$C$23:$Q$78,14,FALSE)</f>
        <v>OOR &lt;</v>
      </c>
      <c r="AE65" s="15">
        <f>VLOOKUP(D65,'Obs Conc %CV_2'!$C$23:$Q$78,14,FALSE)</f>
        <v>0</v>
      </c>
      <c r="AF65" s="14" t="str">
        <f>VLOOKUP(D65,'Obs Conc_2'!$C$23:$Q$78,15,FALSE)</f>
        <v>OOR &lt;</v>
      </c>
      <c r="AG65" s="15">
        <f>VLOOKUP(D65,'Obs Conc %CV_2'!$C$23:$Q$78,15,FALSE)</f>
        <v>0</v>
      </c>
    </row>
    <row r="66" spans="1:33" x14ac:dyDescent="0.2">
      <c r="A66" s="2" t="s">
        <v>3</v>
      </c>
      <c r="B66" s="3" t="s">
        <v>35</v>
      </c>
      <c r="C66" s="2" t="s">
        <v>51</v>
      </c>
      <c r="D66" s="6" t="s">
        <v>184</v>
      </c>
      <c r="E66" s="12" t="s">
        <v>0</v>
      </c>
      <c r="F66" s="14" t="str">
        <f>VLOOKUP(D66,'Obs Conc_2'!$C$23:$Q$78,2,FALSE)</f>
        <v>OOR &lt;</v>
      </c>
      <c r="G66" s="15">
        <f>VLOOKUP(D66,'Obs Conc %CV_2'!$C$23:$Q$78,2,FALSE)</f>
        <v>0</v>
      </c>
      <c r="H66" s="14" t="str">
        <f>VLOOKUP(F66,'Obs Conc_2'!$E$23:$S$78,3,FALSE)</f>
        <v>OOR &lt;</v>
      </c>
      <c r="I66" s="15">
        <f>VLOOKUP(D66,'Obs Conc %CV_2'!$C$23:$Q$78,3,FALSE)</f>
        <v>0</v>
      </c>
      <c r="J66" s="14" t="str">
        <f>VLOOKUP(D66,'Obs Conc_2'!$C$23:$Q$78,4,FALSE)</f>
        <v>OOR &lt;</v>
      </c>
      <c r="K66" s="15">
        <f>VLOOKUP(D66,'Obs Conc %CV_2'!$C$23:$Q$78,4,FALSE)</f>
        <v>0</v>
      </c>
      <c r="L66" s="14" t="str">
        <f>VLOOKUP(D66,'Obs Conc_2'!$C$23:$Q$78,5,FALSE)</f>
        <v>OOR &lt;</v>
      </c>
      <c r="M66" s="15">
        <f>VLOOKUP(D66,'Obs Conc %CV_2'!$C$23:$Q$78,5,FALSE)</f>
        <v>0</v>
      </c>
      <c r="N66" s="14" t="str">
        <f>VLOOKUP(D66,'Obs Conc_2'!$C$23:$Q$78,6,FALSE)</f>
        <v>OOR &lt;</v>
      </c>
      <c r="O66" s="15">
        <f>VLOOKUP(D66,'Obs Conc %CV_2'!$C$23:$Q$78,6,FALSE)</f>
        <v>0</v>
      </c>
      <c r="P66" s="14">
        <f>VLOOKUP(D66,'Obs Conc_2'!$C$23:$Q$78,7,FALSE)</f>
        <v>18.55</v>
      </c>
      <c r="Q66" s="15">
        <f>VLOOKUP(D66,'Obs Conc %CV_2'!$C$23:$Q$78,7,FALSE)</f>
        <v>0</v>
      </c>
      <c r="R66" s="14">
        <f>VLOOKUP(D66,'Obs Conc_2'!$C$23:$Q$78,8,FALSE)</f>
        <v>9.91</v>
      </c>
      <c r="S66" s="15">
        <f>VLOOKUP(D66,'Obs Conc %CV_2'!$C$23:$Q$78,8,FALSE)</f>
        <v>0</v>
      </c>
      <c r="T66" s="14" t="str">
        <f>VLOOKUP(D66,'Obs Conc_2'!$C$23:$Q$78,9,FALSE)</f>
        <v>OOR &lt;</v>
      </c>
      <c r="U66" s="15">
        <f>VLOOKUP(D66,'Obs Conc %CV_2'!$C$23:$Q$78,9,FALSE)</f>
        <v>0</v>
      </c>
      <c r="V66" s="14">
        <f>VLOOKUP(D66,'Obs Conc_2'!$C$23:$Q$78,10,FALSE)</f>
        <v>310.22000000000003</v>
      </c>
      <c r="W66" s="15">
        <f>VLOOKUP(D66,'Obs Conc %CV_2'!$C$23:$Q$78,10,FALSE)</f>
        <v>0</v>
      </c>
      <c r="X66" s="14" t="str">
        <f>VLOOKUP(D66,'Obs Conc_2'!$C$23:$Q$78,11,FALSE)</f>
        <v>OOR &lt;</v>
      </c>
      <c r="Y66" s="15">
        <f>VLOOKUP(D66,'Obs Conc %CV_2'!$C$23:$Q$78,11,FALSE)</f>
        <v>0</v>
      </c>
      <c r="Z66" s="14" t="str">
        <f>VLOOKUP(D66,'Obs Conc_2'!$C$23:$Q$78,12,FALSE)</f>
        <v>OOR &lt;</v>
      </c>
      <c r="AA66" s="15">
        <f>VLOOKUP(D66,'Obs Conc %CV_2'!$C$23:$Q$78,12,FALSE)</f>
        <v>0</v>
      </c>
      <c r="AB66" s="14" t="str">
        <f>VLOOKUP(D66,'Obs Conc_2'!$C$23:$Q$78,13,FALSE)</f>
        <v>OOR &lt;</v>
      </c>
      <c r="AC66" s="15">
        <f>VLOOKUP(D66,'Obs Conc %CV_2'!$C$23:$Q$78,13,FALSE)</f>
        <v>0</v>
      </c>
      <c r="AD66" s="14" t="str">
        <f>VLOOKUP(D66,'Obs Conc_2'!$C$23:$Q$78,14,FALSE)</f>
        <v>OOR &lt;</v>
      </c>
      <c r="AE66" s="15">
        <f>VLOOKUP(D66,'Obs Conc %CV_2'!$C$23:$Q$78,14,FALSE)</f>
        <v>0</v>
      </c>
      <c r="AF66" s="14" t="str">
        <f>VLOOKUP(D66,'Obs Conc_2'!$C$23:$Q$78,15,FALSE)</f>
        <v>OOR &lt;</v>
      </c>
      <c r="AG66" s="15">
        <f>VLOOKUP(D66,'Obs Conc %CV_2'!$C$23:$Q$78,15,FALSE)</f>
        <v>0</v>
      </c>
    </row>
    <row r="67" spans="1:33" x14ac:dyDescent="0.2">
      <c r="A67" s="2" t="s">
        <v>3</v>
      </c>
      <c r="B67" s="3" t="s">
        <v>35</v>
      </c>
      <c r="C67" s="2" t="s">
        <v>50</v>
      </c>
      <c r="D67" s="6" t="s">
        <v>185</v>
      </c>
      <c r="E67" s="12" t="s">
        <v>0</v>
      </c>
      <c r="F67" s="14" t="str">
        <f>VLOOKUP(D67,'Obs Conc_2'!$C$23:$Q$78,2,FALSE)</f>
        <v>OOR &lt;</v>
      </c>
      <c r="G67" s="15">
        <f>VLOOKUP(D67,'Obs Conc %CV_2'!$C$23:$Q$78,2,FALSE)</f>
        <v>0</v>
      </c>
      <c r="H67" s="14" t="str">
        <f>VLOOKUP(F67,'Obs Conc_2'!$E$23:$S$78,3,FALSE)</f>
        <v>OOR &lt;</v>
      </c>
      <c r="I67" s="15">
        <f>VLOOKUP(D67,'Obs Conc %CV_2'!$C$23:$Q$78,3,FALSE)</f>
        <v>0</v>
      </c>
      <c r="J67" s="14" t="str">
        <f>VLOOKUP(D67,'Obs Conc_2'!$C$23:$Q$78,4,FALSE)</f>
        <v>OOR &lt;</v>
      </c>
      <c r="K67" s="15">
        <f>VLOOKUP(D67,'Obs Conc %CV_2'!$C$23:$Q$78,4,FALSE)</f>
        <v>0</v>
      </c>
      <c r="L67" s="14" t="str">
        <f>VLOOKUP(D67,'Obs Conc_2'!$C$23:$Q$78,5,FALSE)</f>
        <v>OOR &lt;</v>
      </c>
      <c r="M67" s="15">
        <f>VLOOKUP(D67,'Obs Conc %CV_2'!$C$23:$Q$78,5,FALSE)</f>
        <v>0</v>
      </c>
      <c r="N67" s="14" t="str">
        <f>VLOOKUP(D67,'Obs Conc_2'!$C$23:$Q$78,6,FALSE)</f>
        <v>OOR &lt;</v>
      </c>
      <c r="O67" s="15">
        <f>VLOOKUP(D67,'Obs Conc %CV_2'!$C$23:$Q$78,6,FALSE)</f>
        <v>0</v>
      </c>
      <c r="P67" s="14">
        <f>VLOOKUP(D67,'Obs Conc_2'!$C$23:$Q$78,7,FALSE)</f>
        <v>94.03</v>
      </c>
      <c r="Q67" s="15">
        <f>VLOOKUP(D67,'Obs Conc %CV_2'!$C$23:$Q$78,7,FALSE)</f>
        <v>0</v>
      </c>
      <c r="R67" s="14">
        <f>VLOOKUP(D67,'Obs Conc_2'!$C$23:$Q$78,8,FALSE)</f>
        <v>6.49</v>
      </c>
      <c r="S67" s="15">
        <f>VLOOKUP(D67,'Obs Conc %CV_2'!$C$23:$Q$78,8,FALSE)</f>
        <v>0</v>
      </c>
      <c r="T67" s="14" t="str">
        <f>VLOOKUP(D67,'Obs Conc_2'!$C$23:$Q$78,9,FALSE)</f>
        <v>OOR &lt;</v>
      </c>
      <c r="U67" s="15">
        <f>VLOOKUP(D67,'Obs Conc %CV_2'!$C$23:$Q$78,9,FALSE)</f>
        <v>0</v>
      </c>
      <c r="V67" s="14">
        <f>VLOOKUP(D67,'Obs Conc_2'!$C$23:$Q$78,10,FALSE)</f>
        <v>497.67</v>
      </c>
      <c r="W67" s="15">
        <f>VLOOKUP(D67,'Obs Conc %CV_2'!$C$23:$Q$78,10,FALSE)</f>
        <v>0</v>
      </c>
      <c r="X67" s="14" t="str">
        <f>VLOOKUP(D67,'Obs Conc_2'!$C$23:$Q$78,11,FALSE)</f>
        <v>OOR &lt;</v>
      </c>
      <c r="Y67" s="15">
        <f>VLOOKUP(D67,'Obs Conc %CV_2'!$C$23:$Q$78,11,FALSE)</f>
        <v>0</v>
      </c>
      <c r="Z67" s="14" t="str">
        <f>VLOOKUP(D67,'Obs Conc_2'!$C$23:$Q$78,12,FALSE)</f>
        <v>OOR &lt;</v>
      </c>
      <c r="AA67" s="15">
        <f>VLOOKUP(D67,'Obs Conc %CV_2'!$C$23:$Q$78,12,FALSE)</f>
        <v>0</v>
      </c>
      <c r="AB67" s="14" t="str">
        <f>VLOOKUP(D67,'Obs Conc_2'!$C$23:$Q$78,13,FALSE)</f>
        <v>OOR &lt;</v>
      </c>
      <c r="AC67" s="15">
        <f>VLOOKUP(D67,'Obs Conc %CV_2'!$C$23:$Q$78,13,FALSE)</f>
        <v>0</v>
      </c>
      <c r="AD67" s="14" t="str">
        <f>VLOOKUP(D67,'Obs Conc_2'!$C$23:$Q$78,14,FALSE)</f>
        <v>OOR &lt;</v>
      </c>
      <c r="AE67" s="15">
        <f>VLOOKUP(D67,'Obs Conc %CV_2'!$C$23:$Q$78,14,FALSE)</f>
        <v>0</v>
      </c>
      <c r="AF67" s="14" t="str">
        <f>VLOOKUP(D67,'Obs Conc_2'!$C$23:$Q$78,15,FALSE)</f>
        <v>OOR &lt;</v>
      </c>
      <c r="AG67" s="15">
        <f>VLOOKUP(D67,'Obs Conc %CV_2'!$C$23:$Q$78,15,FALSE)</f>
        <v>0</v>
      </c>
    </row>
    <row r="68" spans="1:33" x14ac:dyDescent="0.2">
      <c r="A68" s="2" t="s">
        <v>3</v>
      </c>
      <c r="B68" s="3" t="s">
        <v>35</v>
      </c>
      <c r="C68" s="2" t="s">
        <v>49</v>
      </c>
      <c r="D68" s="6" t="s">
        <v>186</v>
      </c>
      <c r="E68" s="12" t="s">
        <v>0</v>
      </c>
      <c r="F68" s="14" t="str">
        <f>VLOOKUP(D68,'Obs Conc_2'!$C$23:$Q$78,2,FALSE)</f>
        <v>OOR &lt;</v>
      </c>
      <c r="G68" s="15">
        <f>VLOOKUP(D68,'Obs Conc %CV_2'!$C$23:$Q$78,2,FALSE)</f>
        <v>0</v>
      </c>
      <c r="H68" s="14" t="str">
        <f>VLOOKUP(F68,'Obs Conc_2'!$E$23:$S$78,3,FALSE)</f>
        <v>OOR &lt;</v>
      </c>
      <c r="I68" s="15">
        <f>VLOOKUP(D68,'Obs Conc %CV_2'!$C$23:$Q$78,3,FALSE)</f>
        <v>0</v>
      </c>
      <c r="J68" s="14" t="str">
        <f>VLOOKUP(D68,'Obs Conc_2'!$C$23:$Q$78,4,FALSE)</f>
        <v>OOR &lt;</v>
      </c>
      <c r="K68" s="15">
        <f>VLOOKUP(D68,'Obs Conc %CV_2'!$C$23:$Q$78,4,FALSE)</f>
        <v>0</v>
      </c>
      <c r="L68" s="14" t="str">
        <f>VLOOKUP(D68,'Obs Conc_2'!$C$23:$Q$78,5,FALSE)</f>
        <v>OOR &lt;</v>
      </c>
      <c r="M68" s="15">
        <f>VLOOKUP(D68,'Obs Conc %CV_2'!$C$23:$Q$78,5,FALSE)</f>
        <v>0</v>
      </c>
      <c r="N68" s="14">
        <f>VLOOKUP(D68,'Obs Conc_2'!$C$23:$Q$78,6,FALSE)</f>
        <v>6.32</v>
      </c>
      <c r="O68" s="15">
        <f>VLOOKUP(D68,'Obs Conc %CV_2'!$C$23:$Q$78,6,FALSE)</f>
        <v>0</v>
      </c>
      <c r="P68" s="14">
        <f>VLOOKUP(D68,'Obs Conc_2'!$C$23:$Q$78,7,FALSE)</f>
        <v>13.61</v>
      </c>
      <c r="Q68" s="15">
        <f>VLOOKUP(D68,'Obs Conc %CV_2'!$C$23:$Q$78,7,FALSE)</f>
        <v>0</v>
      </c>
      <c r="R68" s="14">
        <f>VLOOKUP(D68,'Obs Conc_2'!$C$23:$Q$78,8,FALSE)</f>
        <v>14.37</v>
      </c>
      <c r="S68" s="15">
        <f>VLOOKUP(D68,'Obs Conc %CV_2'!$C$23:$Q$78,8,FALSE)</f>
        <v>0</v>
      </c>
      <c r="T68" s="14" t="str">
        <f>VLOOKUP(D68,'Obs Conc_2'!$C$23:$Q$78,9,FALSE)</f>
        <v>OOR &lt;</v>
      </c>
      <c r="U68" s="15">
        <f>VLOOKUP(D68,'Obs Conc %CV_2'!$C$23:$Q$78,9,FALSE)</f>
        <v>0</v>
      </c>
      <c r="V68" s="14">
        <f>VLOOKUP(D68,'Obs Conc_2'!$C$23:$Q$78,10,FALSE)</f>
        <v>701.63</v>
      </c>
      <c r="W68" s="15">
        <f>VLOOKUP(D68,'Obs Conc %CV_2'!$C$23:$Q$78,10,FALSE)</f>
        <v>0</v>
      </c>
      <c r="X68" s="14" t="str">
        <f>VLOOKUP(D68,'Obs Conc_2'!$C$23:$Q$78,11,FALSE)</f>
        <v>OOR &lt;</v>
      </c>
      <c r="Y68" s="15">
        <f>VLOOKUP(D68,'Obs Conc %CV_2'!$C$23:$Q$78,11,FALSE)</f>
        <v>0</v>
      </c>
      <c r="Z68" s="14" t="str">
        <f>VLOOKUP(D68,'Obs Conc_2'!$C$23:$Q$78,12,FALSE)</f>
        <v>OOR &lt;</v>
      </c>
      <c r="AA68" s="15">
        <f>VLOOKUP(D68,'Obs Conc %CV_2'!$C$23:$Q$78,12,FALSE)</f>
        <v>0</v>
      </c>
      <c r="AB68" s="14" t="str">
        <f>VLOOKUP(D68,'Obs Conc_2'!$C$23:$Q$78,13,FALSE)</f>
        <v>OOR &lt;</v>
      </c>
      <c r="AC68" s="15">
        <f>VLOOKUP(D68,'Obs Conc %CV_2'!$C$23:$Q$78,13,FALSE)</f>
        <v>0</v>
      </c>
      <c r="AD68" s="14" t="str">
        <f>VLOOKUP(D68,'Obs Conc_2'!$C$23:$Q$78,14,FALSE)</f>
        <v>OOR &lt;</v>
      </c>
      <c r="AE68" s="15">
        <f>VLOOKUP(D68,'Obs Conc %CV_2'!$C$23:$Q$78,14,FALSE)</f>
        <v>0</v>
      </c>
      <c r="AF68" s="14" t="str">
        <f>VLOOKUP(D68,'Obs Conc_2'!$C$23:$Q$78,15,FALSE)</f>
        <v>OOR &lt;</v>
      </c>
      <c r="AG68" s="15">
        <f>VLOOKUP(D68,'Obs Conc %CV_2'!$C$23:$Q$78,15,FALSE)</f>
        <v>0</v>
      </c>
    </row>
    <row r="69" spans="1:33" x14ac:dyDescent="0.2">
      <c r="A69" s="2" t="s">
        <v>3</v>
      </c>
      <c r="B69" s="3" t="s">
        <v>35</v>
      </c>
      <c r="C69" s="2" t="s">
        <v>48</v>
      </c>
      <c r="D69" s="6" t="s">
        <v>187</v>
      </c>
      <c r="E69" s="12" t="s">
        <v>0</v>
      </c>
      <c r="F69" s="14" t="str">
        <f>VLOOKUP(D69,'Obs Conc_2'!$C$23:$Q$78,2,FALSE)</f>
        <v>OOR &lt;</v>
      </c>
      <c r="G69" s="15">
        <f>VLOOKUP(D69,'Obs Conc %CV_2'!$C$23:$Q$78,2,FALSE)</f>
        <v>0</v>
      </c>
      <c r="H69" s="14" t="str">
        <f>VLOOKUP(F69,'Obs Conc_2'!$E$23:$S$78,3,FALSE)</f>
        <v>OOR &lt;</v>
      </c>
      <c r="I69" s="15">
        <f>VLOOKUP(D69,'Obs Conc %CV_2'!$C$23:$Q$78,3,FALSE)</f>
        <v>0</v>
      </c>
      <c r="J69" s="14" t="str">
        <f>VLOOKUP(D69,'Obs Conc_2'!$C$23:$Q$78,4,FALSE)</f>
        <v>OOR &lt;</v>
      </c>
      <c r="K69" s="15">
        <f>VLOOKUP(D69,'Obs Conc %CV_2'!$C$23:$Q$78,4,FALSE)</f>
        <v>0</v>
      </c>
      <c r="L69" s="14" t="str">
        <f>VLOOKUP(D69,'Obs Conc_2'!$C$23:$Q$78,5,FALSE)</f>
        <v>OOR &lt;</v>
      </c>
      <c r="M69" s="15">
        <f>VLOOKUP(D69,'Obs Conc %CV_2'!$C$23:$Q$78,5,FALSE)</f>
        <v>0</v>
      </c>
      <c r="N69" s="14" t="str">
        <f>VLOOKUP(D69,'Obs Conc_2'!$C$23:$Q$78,6,FALSE)</f>
        <v>OOR &lt;</v>
      </c>
      <c r="O69" s="15">
        <f>VLOOKUP(D69,'Obs Conc %CV_2'!$C$23:$Q$78,6,FALSE)</f>
        <v>0</v>
      </c>
      <c r="P69" s="14">
        <f>VLOOKUP(D69,'Obs Conc_2'!$C$23:$Q$78,7,FALSE)</f>
        <v>24.86</v>
      </c>
      <c r="Q69" s="15">
        <f>VLOOKUP(D69,'Obs Conc %CV_2'!$C$23:$Q$78,7,FALSE)</f>
        <v>0</v>
      </c>
      <c r="R69" s="14">
        <f>VLOOKUP(D69,'Obs Conc_2'!$C$23:$Q$78,8,FALSE)</f>
        <v>8.5399999999999991</v>
      </c>
      <c r="S69" s="15">
        <f>VLOOKUP(D69,'Obs Conc %CV_2'!$C$23:$Q$78,8,FALSE)</f>
        <v>0</v>
      </c>
      <c r="T69" s="14" t="str">
        <f>VLOOKUP(D69,'Obs Conc_2'!$C$23:$Q$78,9,FALSE)</f>
        <v>OOR &lt;</v>
      </c>
      <c r="U69" s="15">
        <f>VLOOKUP(D69,'Obs Conc %CV_2'!$C$23:$Q$78,9,FALSE)</f>
        <v>0</v>
      </c>
      <c r="V69" s="14">
        <f>VLOOKUP(D69,'Obs Conc_2'!$C$23:$Q$78,10,FALSE)</f>
        <v>715.03</v>
      </c>
      <c r="W69" s="15">
        <f>VLOOKUP(D69,'Obs Conc %CV_2'!$C$23:$Q$78,10,FALSE)</f>
        <v>0</v>
      </c>
      <c r="X69" s="14" t="str">
        <f>VLOOKUP(D69,'Obs Conc_2'!$C$23:$Q$78,11,FALSE)</f>
        <v>OOR &lt;</v>
      </c>
      <c r="Y69" s="15">
        <f>VLOOKUP(D69,'Obs Conc %CV_2'!$C$23:$Q$78,11,FALSE)</f>
        <v>0</v>
      </c>
      <c r="Z69" s="14" t="str">
        <f>VLOOKUP(D69,'Obs Conc_2'!$C$23:$Q$78,12,FALSE)</f>
        <v>OOR &lt;</v>
      </c>
      <c r="AA69" s="15">
        <f>VLOOKUP(D69,'Obs Conc %CV_2'!$C$23:$Q$78,12,FALSE)</f>
        <v>0</v>
      </c>
      <c r="AB69" s="14" t="str">
        <f>VLOOKUP(D69,'Obs Conc_2'!$C$23:$Q$78,13,FALSE)</f>
        <v>OOR &lt;</v>
      </c>
      <c r="AC69" s="15">
        <f>VLOOKUP(D69,'Obs Conc %CV_2'!$C$23:$Q$78,13,FALSE)</f>
        <v>0</v>
      </c>
      <c r="AD69" s="14" t="str">
        <f>VLOOKUP(D69,'Obs Conc_2'!$C$23:$Q$78,14,FALSE)</f>
        <v>OOR &lt;</v>
      </c>
      <c r="AE69" s="15">
        <f>VLOOKUP(D69,'Obs Conc %CV_2'!$C$23:$Q$78,14,FALSE)</f>
        <v>0</v>
      </c>
      <c r="AF69" s="14" t="str">
        <f>VLOOKUP(D69,'Obs Conc_2'!$C$23:$Q$78,15,FALSE)</f>
        <v>OOR &lt;</v>
      </c>
      <c r="AG69" s="15">
        <f>VLOOKUP(D69,'Obs Conc %CV_2'!$C$23:$Q$78,15,FALSE)</f>
        <v>0</v>
      </c>
    </row>
    <row r="70" spans="1:33" x14ac:dyDescent="0.2">
      <c r="A70" s="2" t="s">
        <v>3</v>
      </c>
      <c r="B70" s="3" t="s">
        <v>35</v>
      </c>
      <c r="C70" s="2" t="s">
        <v>47</v>
      </c>
      <c r="D70" s="6" t="s">
        <v>188</v>
      </c>
      <c r="E70" s="12" t="s">
        <v>0</v>
      </c>
      <c r="F70" s="14" t="str">
        <f>VLOOKUP(D70,'Obs Conc_2'!$C$23:$Q$78,2,FALSE)</f>
        <v>OOR &lt;</v>
      </c>
      <c r="G70" s="15">
        <f>VLOOKUP(D70,'Obs Conc %CV_2'!$C$23:$Q$78,2,FALSE)</f>
        <v>0</v>
      </c>
      <c r="H70" s="14" t="str">
        <f>VLOOKUP(F70,'Obs Conc_2'!$E$23:$S$78,3,FALSE)</f>
        <v>OOR &lt;</v>
      </c>
      <c r="I70" s="15">
        <f>VLOOKUP(D70,'Obs Conc %CV_2'!$C$23:$Q$78,3,FALSE)</f>
        <v>0</v>
      </c>
      <c r="J70" s="14" t="str">
        <f>VLOOKUP(D70,'Obs Conc_2'!$C$23:$Q$78,4,FALSE)</f>
        <v>OOR &lt;</v>
      </c>
      <c r="K70" s="15">
        <f>VLOOKUP(D70,'Obs Conc %CV_2'!$C$23:$Q$78,4,FALSE)</f>
        <v>0</v>
      </c>
      <c r="L70" s="14" t="str">
        <f>VLOOKUP(D70,'Obs Conc_2'!$C$23:$Q$78,5,FALSE)</f>
        <v>OOR &lt;</v>
      </c>
      <c r="M70" s="15">
        <f>VLOOKUP(D70,'Obs Conc %CV_2'!$C$23:$Q$78,5,FALSE)</f>
        <v>0</v>
      </c>
      <c r="N70" s="14" t="str">
        <f>VLOOKUP(D70,'Obs Conc_2'!$C$23:$Q$78,6,FALSE)</f>
        <v>OOR &lt;</v>
      </c>
      <c r="O70" s="15">
        <f>VLOOKUP(D70,'Obs Conc %CV_2'!$C$23:$Q$78,6,FALSE)</f>
        <v>0</v>
      </c>
      <c r="P70" s="14" t="str">
        <f>VLOOKUP(D70,'Obs Conc_2'!$C$23:$Q$78,7,FALSE)</f>
        <v>OOR &lt;</v>
      </c>
      <c r="Q70" s="15">
        <f>VLOOKUP(D70,'Obs Conc %CV_2'!$C$23:$Q$78,7,FALSE)</f>
        <v>0</v>
      </c>
      <c r="R70" s="14">
        <f>VLOOKUP(D70,'Obs Conc_2'!$C$23:$Q$78,8,FALSE)</f>
        <v>5.41</v>
      </c>
      <c r="S70" s="15">
        <f>VLOOKUP(D70,'Obs Conc %CV_2'!$C$23:$Q$78,8,FALSE)</f>
        <v>0</v>
      </c>
      <c r="T70" s="14">
        <f>VLOOKUP(D70,'Obs Conc_2'!$C$23:$Q$78,9,FALSE)</f>
        <v>3.35</v>
      </c>
      <c r="U70" s="15">
        <f>VLOOKUP(D70,'Obs Conc %CV_2'!$C$23:$Q$78,9,FALSE)</f>
        <v>0</v>
      </c>
      <c r="V70" s="14">
        <f>VLOOKUP(D70,'Obs Conc_2'!$C$23:$Q$78,10,FALSE)</f>
        <v>584.04</v>
      </c>
      <c r="W70" s="15">
        <f>VLOOKUP(D70,'Obs Conc %CV_2'!$C$23:$Q$78,10,FALSE)</f>
        <v>0</v>
      </c>
      <c r="X70" s="14" t="str">
        <f>VLOOKUP(D70,'Obs Conc_2'!$C$23:$Q$78,11,FALSE)</f>
        <v>OOR &lt;</v>
      </c>
      <c r="Y70" s="15">
        <f>VLOOKUP(D70,'Obs Conc %CV_2'!$C$23:$Q$78,11,FALSE)</f>
        <v>0</v>
      </c>
      <c r="Z70" s="14" t="str">
        <f>VLOOKUP(D70,'Obs Conc_2'!$C$23:$Q$78,12,FALSE)</f>
        <v>OOR &lt;</v>
      </c>
      <c r="AA70" s="15">
        <f>VLOOKUP(D70,'Obs Conc %CV_2'!$C$23:$Q$78,12,FALSE)</f>
        <v>0</v>
      </c>
      <c r="AB70" s="14" t="str">
        <f>VLOOKUP(D70,'Obs Conc_2'!$C$23:$Q$78,13,FALSE)</f>
        <v>OOR &lt;</v>
      </c>
      <c r="AC70" s="15">
        <f>VLOOKUP(D70,'Obs Conc %CV_2'!$C$23:$Q$78,13,FALSE)</f>
        <v>0</v>
      </c>
      <c r="AD70" s="14" t="str">
        <f>VLOOKUP(D70,'Obs Conc_2'!$C$23:$Q$78,14,FALSE)</f>
        <v>OOR &lt;</v>
      </c>
      <c r="AE70" s="15">
        <f>VLOOKUP(D70,'Obs Conc %CV_2'!$C$23:$Q$78,14,FALSE)</f>
        <v>0</v>
      </c>
      <c r="AF70" s="14" t="str">
        <f>VLOOKUP(D70,'Obs Conc_2'!$C$23:$Q$78,15,FALSE)</f>
        <v>OOR &lt;</v>
      </c>
      <c r="AG70" s="15">
        <f>VLOOKUP(D70,'Obs Conc %CV_2'!$C$23:$Q$78,15,FALSE)</f>
        <v>0</v>
      </c>
    </row>
    <row r="71" spans="1:33" x14ac:dyDescent="0.2">
      <c r="A71" s="2" t="s">
        <v>3</v>
      </c>
      <c r="B71" s="3" t="s">
        <v>35</v>
      </c>
      <c r="C71" s="2" t="s">
        <v>46</v>
      </c>
      <c r="D71" s="6" t="s">
        <v>189</v>
      </c>
      <c r="E71" s="12" t="s">
        <v>0</v>
      </c>
      <c r="F71" s="14" t="str">
        <f>VLOOKUP(D71,'Obs Conc_2'!$C$23:$Q$78,2,FALSE)</f>
        <v>OOR &lt;</v>
      </c>
      <c r="G71" s="15">
        <f>VLOOKUP(D71,'Obs Conc %CV_2'!$C$23:$Q$78,2,FALSE)</f>
        <v>0</v>
      </c>
      <c r="H71" s="14" t="str">
        <f>VLOOKUP(F71,'Obs Conc_2'!$E$23:$S$78,3,FALSE)</f>
        <v>OOR &lt;</v>
      </c>
      <c r="I71" s="15">
        <f>VLOOKUP(D71,'Obs Conc %CV_2'!$C$23:$Q$78,3,FALSE)</f>
        <v>0</v>
      </c>
      <c r="J71" s="14" t="str">
        <f>VLOOKUP(D71,'Obs Conc_2'!$C$23:$Q$78,4,FALSE)</f>
        <v>OOR &lt;</v>
      </c>
      <c r="K71" s="15">
        <f>VLOOKUP(D71,'Obs Conc %CV_2'!$C$23:$Q$78,4,FALSE)</f>
        <v>0</v>
      </c>
      <c r="L71" s="14" t="str">
        <f>VLOOKUP(D71,'Obs Conc_2'!$C$23:$Q$78,5,FALSE)</f>
        <v>OOR &lt;</v>
      </c>
      <c r="M71" s="15">
        <f>VLOOKUP(D71,'Obs Conc %CV_2'!$C$23:$Q$78,5,FALSE)</f>
        <v>0</v>
      </c>
      <c r="N71" s="14" t="str">
        <f>VLOOKUP(D71,'Obs Conc_2'!$C$23:$Q$78,6,FALSE)</f>
        <v>OOR &lt;</v>
      </c>
      <c r="O71" s="15">
        <f>VLOOKUP(D71,'Obs Conc %CV_2'!$C$23:$Q$78,6,FALSE)</f>
        <v>0</v>
      </c>
      <c r="P71" s="14">
        <f>VLOOKUP(D71,'Obs Conc_2'!$C$23:$Q$78,7,FALSE)</f>
        <v>21.74</v>
      </c>
      <c r="Q71" s="15">
        <f>VLOOKUP(D71,'Obs Conc %CV_2'!$C$23:$Q$78,7,FALSE)</f>
        <v>0</v>
      </c>
      <c r="R71" s="14">
        <f>VLOOKUP(D71,'Obs Conc_2'!$C$23:$Q$78,8,FALSE)</f>
        <v>17.559999999999999</v>
      </c>
      <c r="S71" s="15">
        <f>VLOOKUP(D71,'Obs Conc %CV_2'!$C$23:$Q$78,8,FALSE)</f>
        <v>0</v>
      </c>
      <c r="T71" s="14" t="str">
        <f>VLOOKUP(D71,'Obs Conc_2'!$C$23:$Q$78,9,FALSE)</f>
        <v>OOR &lt;</v>
      </c>
      <c r="U71" s="15">
        <f>VLOOKUP(D71,'Obs Conc %CV_2'!$C$23:$Q$78,9,FALSE)</f>
        <v>0</v>
      </c>
      <c r="V71" s="14">
        <f>VLOOKUP(D71,'Obs Conc_2'!$C$23:$Q$78,10,FALSE)</f>
        <v>881.99</v>
      </c>
      <c r="W71" s="15">
        <f>VLOOKUP(D71,'Obs Conc %CV_2'!$C$23:$Q$78,10,FALSE)</f>
        <v>0</v>
      </c>
      <c r="X71" s="14" t="str">
        <f>VLOOKUP(D71,'Obs Conc_2'!$C$23:$Q$78,11,FALSE)</f>
        <v>OOR &lt;</v>
      </c>
      <c r="Y71" s="15">
        <f>VLOOKUP(D71,'Obs Conc %CV_2'!$C$23:$Q$78,11,FALSE)</f>
        <v>0</v>
      </c>
      <c r="Z71" s="14" t="str">
        <f>VLOOKUP(D71,'Obs Conc_2'!$C$23:$Q$78,12,FALSE)</f>
        <v>OOR &lt;</v>
      </c>
      <c r="AA71" s="15">
        <f>VLOOKUP(D71,'Obs Conc %CV_2'!$C$23:$Q$78,12,FALSE)</f>
        <v>0</v>
      </c>
      <c r="AB71" s="14" t="str">
        <f>VLOOKUP(D71,'Obs Conc_2'!$C$23:$Q$78,13,FALSE)</f>
        <v>OOR &lt;</v>
      </c>
      <c r="AC71" s="15">
        <f>VLOOKUP(D71,'Obs Conc %CV_2'!$C$23:$Q$78,13,FALSE)</f>
        <v>0</v>
      </c>
      <c r="AD71" s="14" t="str">
        <f>VLOOKUP(D71,'Obs Conc_2'!$C$23:$Q$78,14,FALSE)</f>
        <v>OOR &lt;</v>
      </c>
      <c r="AE71" s="15">
        <f>VLOOKUP(D71,'Obs Conc %CV_2'!$C$23:$Q$78,14,FALSE)</f>
        <v>0</v>
      </c>
      <c r="AF71" s="14" t="str">
        <f>VLOOKUP(D71,'Obs Conc_2'!$C$23:$Q$78,15,FALSE)</f>
        <v>OOR &lt;</v>
      </c>
      <c r="AG71" s="15">
        <f>VLOOKUP(D71,'Obs Conc %CV_2'!$C$23:$Q$78,15,FALSE)</f>
        <v>0</v>
      </c>
    </row>
    <row r="72" spans="1:33" x14ac:dyDescent="0.2">
      <c r="A72" s="2" t="s">
        <v>3</v>
      </c>
      <c r="B72" s="3" t="s">
        <v>35</v>
      </c>
      <c r="C72" s="2" t="s">
        <v>45</v>
      </c>
      <c r="D72" s="6" t="s">
        <v>190</v>
      </c>
      <c r="E72" s="12" t="s">
        <v>0</v>
      </c>
      <c r="F72" s="14" t="str">
        <f>VLOOKUP(D72,'Obs Conc_2'!$C$23:$Q$78,2,FALSE)</f>
        <v>OOR &lt;</v>
      </c>
      <c r="G72" s="15">
        <f>VLOOKUP(D72,'Obs Conc %CV_2'!$C$23:$Q$78,2,FALSE)</f>
        <v>0</v>
      </c>
      <c r="H72" s="14" t="str">
        <f>VLOOKUP(F72,'Obs Conc_2'!$E$23:$S$78,3,FALSE)</f>
        <v>OOR &lt;</v>
      </c>
      <c r="I72" s="15">
        <f>VLOOKUP(D72,'Obs Conc %CV_2'!$C$23:$Q$78,3,FALSE)</f>
        <v>0</v>
      </c>
      <c r="J72" s="14" t="str">
        <f>VLOOKUP(D72,'Obs Conc_2'!$C$23:$Q$78,4,FALSE)</f>
        <v>OOR &lt;</v>
      </c>
      <c r="K72" s="15">
        <f>VLOOKUP(D72,'Obs Conc %CV_2'!$C$23:$Q$78,4,FALSE)</f>
        <v>0</v>
      </c>
      <c r="L72" s="14" t="str">
        <f>VLOOKUP(D72,'Obs Conc_2'!$C$23:$Q$78,5,FALSE)</f>
        <v>OOR &lt;</v>
      </c>
      <c r="M72" s="15">
        <f>VLOOKUP(D72,'Obs Conc %CV_2'!$C$23:$Q$78,5,FALSE)</f>
        <v>0</v>
      </c>
      <c r="N72" s="14" t="str">
        <f>VLOOKUP(D72,'Obs Conc_2'!$C$23:$Q$78,6,FALSE)</f>
        <v>OOR &lt;</v>
      </c>
      <c r="O72" s="15">
        <f>VLOOKUP(D72,'Obs Conc %CV_2'!$C$23:$Q$78,6,FALSE)</f>
        <v>0</v>
      </c>
      <c r="P72" s="14" t="str">
        <f>VLOOKUP(D72,'Obs Conc_2'!$C$23:$Q$78,7,FALSE)</f>
        <v>OOR &lt;</v>
      </c>
      <c r="Q72" s="15">
        <f>VLOOKUP(D72,'Obs Conc %CV_2'!$C$23:$Q$78,7,FALSE)</f>
        <v>0</v>
      </c>
      <c r="R72" s="14">
        <f>VLOOKUP(D72,'Obs Conc_2'!$C$23:$Q$78,8,FALSE)</f>
        <v>5.96</v>
      </c>
      <c r="S72" s="15">
        <f>VLOOKUP(D72,'Obs Conc %CV_2'!$C$23:$Q$78,8,FALSE)</f>
        <v>0</v>
      </c>
      <c r="T72" s="14" t="str">
        <f>VLOOKUP(D72,'Obs Conc_2'!$C$23:$Q$78,9,FALSE)</f>
        <v>OOR &lt;</v>
      </c>
      <c r="U72" s="15">
        <f>VLOOKUP(D72,'Obs Conc %CV_2'!$C$23:$Q$78,9,FALSE)</f>
        <v>0</v>
      </c>
      <c r="V72" s="14">
        <f>VLOOKUP(D72,'Obs Conc_2'!$C$23:$Q$78,10,FALSE)</f>
        <v>346</v>
      </c>
      <c r="W72" s="15">
        <f>VLOOKUP(D72,'Obs Conc %CV_2'!$C$23:$Q$78,10,FALSE)</f>
        <v>0</v>
      </c>
      <c r="X72" s="14" t="str">
        <f>VLOOKUP(D72,'Obs Conc_2'!$C$23:$Q$78,11,FALSE)</f>
        <v>OOR &lt;</v>
      </c>
      <c r="Y72" s="15">
        <f>VLOOKUP(D72,'Obs Conc %CV_2'!$C$23:$Q$78,11,FALSE)</f>
        <v>0</v>
      </c>
      <c r="Z72" s="14" t="str">
        <f>VLOOKUP(D72,'Obs Conc_2'!$C$23:$Q$78,12,FALSE)</f>
        <v>OOR &lt;</v>
      </c>
      <c r="AA72" s="15">
        <f>VLOOKUP(D72,'Obs Conc %CV_2'!$C$23:$Q$78,12,FALSE)</f>
        <v>0</v>
      </c>
      <c r="AB72" s="14" t="str">
        <f>VLOOKUP(D72,'Obs Conc_2'!$C$23:$Q$78,13,FALSE)</f>
        <v>OOR &lt;</v>
      </c>
      <c r="AC72" s="15">
        <f>VLOOKUP(D72,'Obs Conc %CV_2'!$C$23:$Q$78,13,FALSE)</f>
        <v>0</v>
      </c>
      <c r="AD72" s="14" t="str">
        <f>VLOOKUP(D72,'Obs Conc_2'!$C$23:$Q$78,14,FALSE)</f>
        <v>OOR &lt;</v>
      </c>
      <c r="AE72" s="15">
        <f>VLOOKUP(D72,'Obs Conc %CV_2'!$C$23:$Q$78,14,FALSE)</f>
        <v>0</v>
      </c>
      <c r="AF72" s="14" t="str">
        <f>VLOOKUP(D72,'Obs Conc_2'!$C$23:$Q$78,15,FALSE)</f>
        <v>OOR &lt;</v>
      </c>
      <c r="AG72" s="15">
        <f>VLOOKUP(D72,'Obs Conc %CV_2'!$C$23:$Q$78,15,FALSE)</f>
        <v>0</v>
      </c>
    </row>
    <row r="73" spans="1:33" x14ac:dyDescent="0.2">
      <c r="A73" s="2" t="s">
        <v>3</v>
      </c>
      <c r="B73" s="3" t="s">
        <v>35</v>
      </c>
      <c r="C73" s="2" t="s">
        <v>44</v>
      </c>
      <c r="D73" s="6" t="s">
        <v>191</v>
      </c>
      <c r="E73" s="12" t="s">
        <v>0</v>
      </c>
      <c r="F73" s="14" t="str">
        <f>VLOOKUP(D73,'Obs Conc_2'!$C$23:$Q$78,2,FALSE)</f>
        <v>OOR &lt;</v>
      </c>
      <c r="G73" s="15">
        <f>VLOOKUP(D73,'Obs Conc %CV_2'!$C$23:$Q$78,2,FALSE)</f>
        <v>0</v>
      </c>
      <c r="H73" s="14" t="str">
        <f>VLOOKUP(F73,'Obs Conc_2'!$E$23:$S$78,3,FALSE)</f>
        <v>OOR &lt;</v>
      </c>
      <c r="I73" s="15">
        <f>VLOOKUP(D73,'Obs Conc %CV_2'!$C$23:$Q$78,3,FALSE)</f>
        <v>0</v>
      </c>
      <c r="J73" s="14" t="str">
        <f>VLOOKUP(D73,'Obs Conc_2'!$C$23:$Q$78,4,FALSE)</f>
        <v>OOR &lt;</v>
      </c>
      <c r="K73" s="15">
        <f>VLOOKUP(D73,'Obs Conc %CV_2'!$C$23:$Q$78,4,FALSE)</f>
        <v>0</v>
      </c>
      <c r="L73" s="14" t="str">
        <f>VLOOKUP(D73,'Obs Conc_2'!$C$23:$Q$78,5,FALSE)</f>
        <v>OOR &lt;</v>
      </c>
      <c r="M73" s="15">
        <f>VLOOKUP(D73,'Obs Conc %CV_2'!$C$23:$Q$78,5,FALSE)</f>
        <v>0</v>
      </c>
      <c r="N73" s="14" t="str">
        <f>VLOOKUP(D73,'Obs Conc_2'!$C$23:$Q$78,6,FALSE)</f>
        <v>OOR &lt;</v>
      </c>
      <c r="O73" s="15">
        <f>VLOOKUP(D73,'Obs Conc %CV_2'!$C$23:$Q$78,6,FALSE)</f>
        <v>0</v>
      </c>
      <c r="P73" s="14">
        <f>VLOOKUP(D73,'Obs Conc_2'!$C$23:$Q$78,7,FALSE)</f>
        <v>99.1</v>
      </c>
      <c r="Q73" s="15">
        <f>VLOOKUP(D73,'Obs Conc %CV_2'!$C$23:$Q$78,7,FALSE)</f>
        <v>0</v>
      </c>
      <c r="R73" s="14">
        <f>VLOOKUP(D73,'Obs Conc_2'!$C$23:$Q$78,8,FALSE)</f>
        <v>53.61</v>
      </c>
      <c r="S73" s="15">
        <f>VLOOKUP(D73,'Obs Conc %CV_2'!$C$23:$Q$78,8,FALSE)</f>
        <v>0</v>
      </c>
      <c r="T73" s="14">
        <f>VLOOKUP(D73,'Obs Conc_2'!$C$23:$Q$78,9,FALSE)</f>
        <v>9.86</v>
      </c>
      <c r="U73" s="15">
        <f>VLOOKUP(D73,'Obs Conc %CV_2'!$C$23:$Q$78,9,FALSE)</f>
        <v>0</v>
      </c>
      <c r="V73" s="14">
        <f>VLOOKUP(D73,'Obs Conc_2'!$C$23:$Q$78,10,FALSE)</f>
        <v>1452.91</v>
      </c>
      <c r="W73" s="15">
        <f>VLOOKUP(D73,'Obs Conc %CV_2'!$C$23:$Q$78,10,FALSE)</f>
        <v>0</v>
      </c>
      <c r="X73" s="14" t="str">
        <f>VLOOKUP(D73,'Obs Conc_2'!$C$23:$Q$78,11,FALSE)</f>
        <v>OOR &lt;</v>
      </c>
      <c r="Y73" s="15">
        <f>VLOOKUP(D73,'Obs Conc %CV_2'!$C$23:$Q$78,11,FALSE)</f>
        <v>0</v>
      </c>
      <c r="Z73" s="14" t="str">
        <f>VLOOKUP(D73,'Obs Conc_2'!$C$23:$Q$78,12,FALSE)</f>
        <v>OOR &lt;</v>
      </c>
      <c r="AA73" s="15">
        <f>VLOOKUP(D73,'Obs Conc %CV_2'!$C$23:$Q$78,12,FALSE)</f>
        <v>0</v>
      </c>
      <c r="AB73" s="14" t="str">
        <f>VLOOKUP(D73,'Obs Conc_2'!$C$23:$Q$78,13,FALSE)</f>
        <v>OOR &lt;</v>
      </c>
      <c r="AC73" s="15">
        <f>VLOOKUP(D73,'Obs Conc %CV_2'!$C$23:$Q$78,13,FALSE)</f>
        <v>0</v>
      </c>
      <c r="AD73" s="14" t="str">
        <f>VLOOKUP(D73,'Obs Conc_2'!$C$23:$Q$78,14,FALSE)</f>
        <v>OOR &lt;</v>
      </c>
      <c r="AE73" s="15">
        <f>VLOOKUP(D73,'Obs Conc %CV_2'!$C$23:$Q$78,14,FALSE)</f>
        <v>0</v>
      </c>
      <c r="AF73" s="14" t="str">
        <f>VLOOKUP(D73,'Obs Conc_2'!$C$23:$Q$78,15,FALSE)</f>
        <v>OOR &lt;</v>
      </c>
      <c r="AG73" s="15">
        <f>VLOOKUP(D73,'Obs Conc %CV_2'!$C$23:$Q$78,15,FALSE)</f>
        <v>0</v>
      </c>
    </row>
    <row r="74" spans="1:33" x14ac:dyDescent="0.2">
      <c r="A74" s="2" t="s">
        <v>3</v>
      </c>
      <c r="B74" s="3" t="s">
        <v>35</v>
      </c>
      <c r="C74" s="2" t="s">
        <v>43</v>
      </c>
      <c r="D74" s="6" t="s">
        <v>192</v>
      </c>
      <c r="E74" s="12" t="s">
        <v>0</v>
      </c>
      <c r="F74" s="14" t="str">
        <f>VLOOKUP(D74,'Obs Conc_2'!$C$23:$Q$78,2,FALSE)</f>
        <v>OOR &lt;</v>
      </c>
      <c r="G74" s="15">
        <f>VLOOKUP(D74,'Obs Conc %CV_2'!$C$23:$Q$78,2,FALSE)</f>
        <v>0</v>
      </c>
      <c r="H74" s="14" t="str">
        <f>VLOOKUP(F74,'Obs Conc_2'!$E$23:$S$78,3,FALSE)</f>
        <v>OOR &lt;</v>
      </c>
      <c r="I74" s="15">
        <f>VLOOKUP(D74,'Obs Conc %CV_2'!$C$23:$Q$78,3,FALSE)</f>
        <v>0</v>
      </c>
      <c r="J74" s="14" t="str">
        <f>VLOOKUP(D74,'Obs Conc_2'!$C$23:$Q$78,4,FALSE)</f>
        <v>OOR &lt;</v>
      </c>
      <c r="K74" s="15">
        <f>VLOOKUP(D74,'Obs Conc %CV_2'!$C$23:$Q$78,4,FALSE)</f>
        <v>0</v>
      </c>
      <c r="L74" s="14" t="str">
        <f>VLOOKUP(D74,'Obs Conc_2'!$C$23:$Q$78,5,FALSE)</f>
        <v>OOR &lt;</v>
      </c>
      <c r="M74" s="15">
        <f>VLOOKUP(D74,'Obs Conc %CV_2'!$C$23:$Q$78,5,FALSE)</f>
        <v>0</v>
      </c>
      <c r="N74" s="14" t="str">
        <f>VLOOKUP(D74,'Obs Conc_2'!$C$23:$Q$78,6,FALSE)</f>
        <v>OOR &lt;</v>
      </c>
      <c r="O74" s="15">
        <f>VLOOKUP(D74,'Obs Conc %CV_2'!$C$23:$Q$78,6,FALSE)</f>
        <v>0</v>
      </c>
      <c r="P74" s="14">
        <f>VLOOKUP(D74,'Obs Conc_2'!$C$23:$Q$78,7,FALSE)</f>
        <v>16.11</v>
      </c>
      <c r="Q74" s="15">
        <f>VLOOKUP(D74,'Obs Conc %CV_2'!$C$23:$Q$78,7,FALSE)</f>
        <v>0</v>
      </c>
      <c r="R74" s="14">
        <f>VLOOKUP(D74,'Obs Conc_2'!$C$23:$Q$78,8,FALSE)</f>
        <v>20.76</v>
      </c>
      <c r="S74" s="15">
        <f>VLOOKUP(D74,'Obs Conc %CV_2'!$C$23:$Q$78,8,FALSE)</f>
        <v>0</v>
      </c>
      <c r="T74" s="14" t="str">
        <f>VLOOKUP(D74,'Obs Conc_2'!$C$23:$Q$78,9,FALSE)</f>
        <v>OOR &lt;</v>
      </c>
      <c r="U74" s="15">
        <f>VLOOKUP(D74,'Obs Conc %CV_2'!$C$23:$Q$78,9,FALSE)</f>
        <v>0</v>
      </c>
      <c r="V74" s="14">
        <f>VLOOKUP(D74,'Obs Conc_2'!$C$23:$Q$78,10,FALSE)</f>
        <v>774.66</v>
      </c>
      <c r="W74" s="15">
        <f>VLOOKUP(D74,'Obs Conc %CV_2'!$C$23:$Q$78,10,FALSE)</f>
        <v>0</v>
      </c>
      <c r="X74" s="14" t="str">
        <f>VLOOKUP(D74,'Obs Conc_2'!$C$23:$Q$78,11,FALSE)</f>
        <v>OOR &lt;</v>
      </c>
      <c r="Y74" s="15">
        <f>VLOOKUP(D74,'Obs Conc %CV_2'!$C$23:$Q$78,11,FALSE)</f>
        <v>0</v>
      </c>
      <c r="Z74" s="14" t="str">
        <f>VLOOKUP(D74,'Obs Conc_2'!$C$23:$Q$78,12,FALSE)</f>
        <v>OOR &lt;</v>
      </c>
      <c r="AA74" s="15">
        <f>VLOOKUP(D74,'Obs Conc %CV_2'!$C$23:$Q$78,12,FALSE)</f>
        <v>0</v>
      </c>
      <c r="AB74" s="14" t="str">
        <f>VLOOKUP(D74,'Obs Conc_2'!$C$23:$Q$78,13,FALSE)</f>
        <v>OOR &lt;</v>
      </c>
      <c r="AC74" s="15">
        <f>VLOOKUP(D74,'Obs Conc %CV_2'!$C$23:$Q$78,13,FALSE)</f>
        <v>0</v>
      </c>
      <c r="AD74" s="14" t="str">
        <f>VLOOKUP(D74,'Obs Conc_2'!$C$23:$Q$78,14,FALSE)</f>
        <v>OOR &lt;</v>
      </c>
      <c r="AE74" s="15">
        <f>VLOOKUP(D74,'Obs Conc %CV_2'!$C$23:$Q$78,14,FALSE)</f>
        <v>0</v>
      </c>
      <c r="AF74" s="14" t="str">
        <f>VLOOKUP(D74,'Obs Conc_2'!$C$23:$Q$78,15,FALSE)</f>
        <v>OOR &lt;</v>
      </c>
      <c r="AG74" s="15">
        <f>VLOOKUP(D74,'Obs Conc %CV_2'!$C$23:$Q$78,15,FALSE)</f>
        <v>0</v>
      </c>
    </row>
    <row r="75" spans="1:33" x14ac:dyDescent="0.2">
      <c r="A75" s="2" t="s">
        <v>3</v>
      </c>
      <c r="B75" s="3" t="s">
        <v>35</v>
      </c>
      <c r="C75" s="2" t="s">
        <v>42</v>
      </c>
      <c r="D75" s="6" t="s">
        <v>193</v>
      </c>
      <c r="E75" s="12" t="s">
        <v>0</v>
      </c>
      <c r="F75" s="14" t="str">
        <f>VLOOKUP(D75,'Obs Conc_2'!$C$23:$Q$78,2,FALSE)</f>
        <v>OOR &lt;</v>
      </c>
      <c r="G75" s="15">
        <f>VLOOKUP(D75,'Obs Conc %CV_2'!$C$23:$Q$78,2,FALSE)</f>
        <v>0</v>
      </c>
      <c r="H75" s="14" t="str">
        <f>VLOOKUP(F75,'Obs Conc_2'!$E$23:$S$78,3,FALSE)</f>
        <v>OOR &lt;</v>
      </c>
      <c r="I75" s="15">
        <f>VLOOKUP(D75,'Obs Conc %CV_2'!$C$23:$Q$78,3,FALSE)</f>
        <v>0</v>
      </c>
      <c r="J75" s="14" t="str">
        <f>VLOOKUP(D75,'Obs Conc_2'!$C$23:$Q$78,4,FALSE)</f>
        <v>OOR &lt;</v>
      </c>
      <c r="K75" s="15">
        <f>VLOOKUP(D75,'Obs Conc %CV_2'!$C$23:$Q$78,4,FALSE)</f>
        <v>0</v>
      </c>
      <c r="L75" s="14" t="str">
        <f>VLOOKUP(D75,'Obs Conc_2'!$C$23:$Q$78,5,FALSE)</f>
        <v>OOR &lt;</v>
      </c>
      <c r="M75" s="15">
        <f>VLOOKUP(D75,'Obs Conc %CV_2'!$C$23:$Q$78,5,FALSE)</f>
        <v>0</v>
      </c>
      <c r="N75" s="14" t="str">
        <f>VLOOKUP(D75,'Obs Conc_2'!$C$23:$Q$78,6,FALSE)</f>
        <v>OOR &lt;</v>
      </c>
      <c r="O75" s="15">
        <f>VLOOKUP(D75,'Obs Conc %CV_2'!$C$23:$Q$78,6,FALSE)</f>
        <v>0</v>
      </c>
      <c r="P75" s="14">
        <f>VLOOKUP(D75,'Obs Conc_2'!$C$23:$Q$78,7,FALSE)</f>
        <v>16.11</v>
      </c>
      <c r="Q75" s="15">
        <f>VLOOKUP(D75,'Obs Conc %CV_2'!$C$23:$Q$78,7,FALSE)</f>
        <v>0</v>
      </c>
      <c r="R75" s="14">
        <f>VLOOKUP(D75,'Obs Conc_2'!$C$23:$Q$78,8,FALSE)</f>
        <v>6.49</v>
      </c>
      <c r="S75" s="15">
        <f>VLOOKUP(D75,'Obs Conc %CV_2'!$C$23:$Q$78,8,FALSE)</f>
        <v>0</v>
      </c>
      <c r="T75" s="14" t="str">
        <f>VLOOKUP(D75,'Obs Conc_2'!$C$23:$Q$78,9,FALSE)</f>
        <v>OOR &lt;</v>
      </c>
      <c r="U75" s="15">
        <f>VLOOKUP(D75,'Obs Conc %CV_2'!$C$23:$Q$78,9,FALSE)</f>
        <v>0</v>
      </c>
      <c r="V75" s="14">
        <f>VLOOKUP(D75,'Obs Conc_2'!$C$23:$Q$78,10,FALSE)</f>
        <v>488.31</v>
      </c>
      <c r="W75" s="15">
        <f>VLOOKUP(D75,'Obs Conc %CV_2'!$C$23:$Q$78,10,FALSE)</f>
        <v>0</v>
      </c>
      <c r="X75" s="14" t="str">
        <f>VLOOKUP(D75,'Obs Conc_2'!$C$23:$Q$78,11,FALSE)</f>
        <v>OOR &lt;</v>
      </c>
      <c r="Y75" s="15">
        <f>VLOOKUP(D75,'Obs Conc %CV_2'!$C$23:$Q$78,11,FALSE)</f>
        <v>0</v>
      </c>
      <c r="Z75" s="14" t="str">
        <f>VLOOKUP(D75,'Obs Conc_2'!$C$23:$Q$78,12,FALSE)</f>
        <v>OOR &lt;</v>
      </c>
      <c r="AA75" s="15">
        <f>VLOOKUP(D75,'Obs Conc %CV_2'!$C$23:$Q$78,12,FALSE)</f>
        <v>0</v>
      </c>
      <c r="AB75" s="14" t="str">
        <f>VLOOKUP(D75,'Obs Conc_2'!$C$23:$Q$78,13,FALSE)</f>
        <v>OOR &lt;</v>
      </c>
      <c r="AC75" s="15">
        <f>VLOOKUP(D75,'Obs Conc %CV_2'!$C$23:$Q$78,13,FALSE)</f>
        <v>0</v>
      </c>
      <c r="AD75" s="14" t="str">
        <f>VLOOKUP(D75,'Obs Conc_2'!$C$23:$Q$78,14,FALSE)</f>
        <v>OOR &lt;</v>
      </c>
      <c r="AE75" s="15">
        <f>VLOOKUP(D75,'Obs Conc %CV_2'!$C$23:$Q$78,14,FALSE)</f>
        <v>0</v>
      </c>
      <c r="AF75" s="14" t="str">
        <f>VLOOKUP(D75,'Obs Conc_2'!$C$23:$Q$78,15,FALSE)</f>
        <v>OOR &lt;</v>
      </c>
      <c r="AG75" s="15">
        <f>VLOOKUP(D75,'Obs Conc %CV_2'!$C$23:$Q$78,15,FALSE)</f>
        <v>0</v>
      </c>
    </row>
    <row r="76" spans="1:33" x14ac:dyDescent="0.2">
      <c r="A76" s="2" t="s">
        <v>3</v>
      </c>
      <c r="B76" s="3" t="s">
        <v>35</v>
      </c>
      <c r="C76" s="2" t="s">
        <v>41</v>
      </c>
      <c r="D76" s="6" t="s">
        <v>194</v>
      </c>
      <c r="E76" s="12" t="s">
        <v>0</v>
      </c>
      <c r="F76" s="14" t="str">
        <f>VLOOKUP(D76,'Obs Conc_2'!$C$23:$Q$78,2,FALSE)</f>
        <v>OOR &lt;</v>
      </c>
      <c r="G76" s="15">
        <f>VLOOKUP(D76,'Obs Conc %CV_2'!$C$23:$Q$78,2,FALSE)</f>
        <v>0</v>
      </c>
      <c r="H76" s="14" t="str">
        <f>VLOOKUP(F76,'Obs Conc_2'!$E$23:$S$78,3,FALSE)</f>
        <v>OOR &lt;</v>
      </c>
      <c r="I76" s="15">
        <f>VLOOKUP(D76,'Obs Conc %CV_2'!$C$23:$Q$78,3,FALSE)</f>
        <v>0</v>
      </c>
      <c r="J76" s="14" t="str">
        <f>VLOOKUP(D76,'Obs Conc_2'!$C$23:$Q$78,4,FALSE)</f>
        <v>OOR &lt;</v>
      </c>
      <c r="K76" s="15">
        <f>VLOOKUP(D76,'Obs Conc %CV_2'!$C$23:$Q$78,4,FALSE)</f>
        <v>0</v>
      </c>
      <c r="L76" s="14" t="str">
        <f>VLOOKUP(D76,'Obs Conc_2'!$C$23:$Q$78,5,FALSE)</f>
        <v>OOR &lt;</v>
      </c>
      <c r="M76" s="15">
        <f>VLOOKUP(D76,'Obs Conc %CV_2'!$C$23:$Q$78,5,FALSE)</f>
        <v>0</v>
      </c>
      <c r="N76" s="14" t="str">
        <f>VLOOKUP(D76,'Obs Conc_2'!$C$23:$Q$78,6,FALSE)</f>
        <v>OOR &lt;</v>
      </c>
      <c r="O76" s="15">
        <f>VLOOKUP(D76,'Obs Conc %CV_2'!$C$23:$Q$78,6,FALSE)</f>
        <v>0</v>
      </c>
      <c r="P76" s="14">
        <f>VLOOKUP(D76,'Obs Conc_2'!$C$23:$Q$78,7,FALSE)</f>
        <v>14.45</v>
      </c>
      <c r="Q76" s="15">
        <f>VLOOKUP(D76,'Obs Conc %CV_2'!$C$23:$Q$78,7,FALSE)</f>
        <v>0</v>
      </c>
      <c r="R76" s="14" t="str">
        <f>VLOOKUP(D76,'Obs Conc_2'!$C$23:$Q$78,8,FALSE)</f>
        <v>OOR &lt;</v>
      </c>
      <c r="S76" s="15">
        <f>VLOOKUP(D76,'Obs Conc %CV_2'!$C$23:$Q$78,8,FALSE)</f>
        <v>0</v>
      </c>
      <c r="T76" s="14" t="str">
        <f>VLOOKUP(D76,'Obs Conc_2'!$C$23:$Q$78,9,FALSE)</f>
        <v>OOR &lt;</v>
      </c>
      <c r="U76" s="15">
        <f>VLOOKUP(D76,'Obs Conc %CV_2'!$C$23:$Q$78,9,FALSE)</f>
        <v>0</v>
      </c>
      <c r="V76" s="14">
        <f>VLOOKUP(D76,'Obs Conc_2'!$C$23:$Q$78,10,FALSE)</f>
        <v>276.13</v>
      </c>
      <c r="W76" s="15">
        <f>VLOOKUP(D76,'Obs Conc %CV_2'!$C$23:$Q$78,10,FALSE)</f>
        <v>0</v>
      </c>
      <c r="X76" s="14" t="str">
        <f>VLOOKUP(D76,'Obs Conc_2'!$C$23:$Q$78,11,FALSE)</f>
        <v>OOR &lt;</v>
      </c>
      <c r="Y76" s="15">
        <f>VLOOKUP(D76,'Obs Conc %CV_2'!$C$23:$Q$78,11,FALSE)</f>
        <v>0</v>
      </c>
      <c r="Z76" s="14" t="str">
        <f>VLOOKUP(D76,'Obs Conc_2'!$C$23:$Q$78,12,FALSE)</f>
        <v>OOR &lt;</v>
      </c>
      <c r="AA76" s="15">
        <f>VLOOKUP(D76,'Obs Conc %CV_2'!$C$23:$Q$78,12,FALSE)</f>
        <v>0</v>
      </c>
      <c r="AB76" s="14" t="str">
        <f>VLOOKUP(D76,'Obs Conc_2'!$C$23:$Q$78,13,FALSE)</f>
        <v>OOR &lt;</v>
      </c>
      <c r="AC76" s="15">
        <f>VLOOKUP(D76,'Obs Conc %CV_2'!$C$23:$Q$78,13,FALSE)</f>
        <v>0</v>
      </c>
      <c r="AD76" s="14" t="str">
        <f>VLOOKUP(D76,'Obs Conc_2'!$C$23:$Q$78,14,FALSE)</f>
        <v>OOR &lt;</v>
      </c>
      <c r="AE76" s="15">
        <f>VLOOKUP(D76,'Obs Conc %CV_2'!$C$23:$Q$78,14,FALSE)</f>
        <v>0</v>
      </c>
      <c r="AF76" s="14" t="str">
        <f>VLOOKUP(D76,'Obs Conc_2'!$C$23:$Q$78,15,FALSE)</f>
        <v>OOR &lt;</v>
      </c>
      <c r="AG76" s="15">
        <f>VLOOKUP(D76,'Obs Conc %CV_2'!$C$23:$Q$78,15,FALSE)</f>
        <v>0</v>
      </c>
    </row>
    <row r="77" spans="1:33" x14ac:dyDescent="0.2">
      <c r="A77" s="2" t="s">
        <v>3</v>
      </c>
      <c r="B77" s="3" t="s">
        <v>35</v>
      </c>
      <c r="C77" s="2" t="s">
        <v>40</v>
      </c>
      <c r="D77" s="6" t="s">
        <v>195</v>
      </c>
      <c r="E77" s="12" t="s">
        <v>0</v>
      </c>
      <c r="F77" s="14" t="str">
        <f>VLOOKUP(D77,'Obs Conc_2'!$C$23:$Q$78,2,FALSE)</f>
        <v>OOR &lt;</v>
      </c>
      <c r="G77" s="15">
        <f>VLOOKUP(D77,'Obs Conc %CV_2'!$C$23:$Q$78,2,FALSE)</f>
        <v>0</v>
      </c>
      <c r="H77" s="14" t="str">
        <f>VLOOKUP(F77,'Obs Conc_2'!$E$23:$S$78,3,FALSE)</f>
        <v>OOR &lt;</v>
      </c>
      <c r="I77" s="15">
        <f>VLOOKUP(D77,'Obs Conc %CV_2'!$C$23:$Q$78,3,FALSE)</f>
        <v>0</v>
      </c>
      <c r="J77" s="14" t="str">
        <f>VLOOKUP(D77,'Obs Conc_2'!$C$23:$Q$78,4,FALSE)</f>
        <v>OOR &lt;</v>
      </c>
      <c r="K77" s="15">
        <f>VLOOKUP(D77,'Obs Conc %CV_2'!$C$23:$Q$78,4,FALSE)</f>
        <v>0</v>
      </c>
      <c r="L77" s="14" t="str">
        <f>VLOOKUP(D77,'Obs Conc_2'!$C$23:$Q$78,5,FALSE)</f>
        <v>OOR &lt;</v>
      </c>
      <c r="M77" s="15">
        <f>VLOOKUP(D77,'Obs Conc %CV_2'!$C$23:$Q$78,5,FALSE)</f>
        <v>0</v>
      </c>
      <c r="N77" s="14" t="str">
        <f>VLOOKUP(D77,'Obs Conc_2'!$C$23:$Q$78,6,FALSE)</f>
        <v>OOR &lt;</v>
      </c>
      <c r="O77" s="15">
        <f>VLOOKUP(D77,'Obs Conc %CV_2'!$C$23:$Q$78,6,FALSE)</f>
        <v>0</v>
      </c>
      <c r="P77" s="14">
        <f>VLOOKUP(D77,'Obs Conc_2'!$C$23:$Q$78,7,FALSE)</f>
        <v>879.06</v>
      </c>
      <c r="Q77" s="15">
        <f>VLOOKUP(D77,'Obs Conc %CV_2'!$C$23:$Q$78,7,FALSE)</f>
        <v>0</v>
      </c>
      <c r="R77" s="14">
        <f>VLOOKUP(D77,'Obs Conc_2'!$C$23:$Q$78,8,FALSE)</f>
        <v>227.43</v>
      </c>
      <c r="S77" s="15">
        <f>VLOOKUP(D77,'Obs Conc %CV_2'!$C$23:$Q$78,8,FALSE)</f>
        <v>0</v>
      </c>
      <c r="T77" s="14">
        <f>VLOOKUP(D77,'Obs Conc_2'!$C$23:$Q$78,9,FALSE)</f>
        <v>34.909999999999997</v>
      </c>
      <c r="U77" s="15">
        <f>VLOOKUP(D77,'Obs Conc %CV_2'!$C$23:$Q$78,9,FALSE)</f>
        <v>0</v>
      </c>
      <c r="V77" s="14">
        <f>VLOOKUP(D77,'Obs Conc_2'!$C$23:$Q$78,10,FALSE)</f>
        <v>1076</v>
      </c>
      <c r="W77" s="15">
        <f>VLOOKUP(D77,'Obs Conc %CV_2'!$C$23:$Q$78,10,FALSE)</f>
        <v>0</v>
      </c>
      <c r="X77" s="14" t="str">
        <f>VLOOKUP(D77,'Obs Conc_2'!$C$23:$Q$78,11,FALSE)</f>
        <v>OOR &lt;</v>
      </c>
      <c r="Y77" s="15">
        <f>VLOOKUP(D77,'Obs Conc %CV_2'!$C$23:$Q$78,11,FALSE)</f>
        <v>0</v>
      </c>
      <c r="Z77" s="14" t="str">
        <f>VLOOKUP(D77,'Obs Conc_2'!$C$23:$Q$78,12,FALSE)</f>
        <v>OOR &lt;</v>
      </c>
      <c r="AA77" s="15">
        <f>VLOOKUP(D77,'Obs Conc %CV_2'!$C$23:$Q$78,12,FALSE)</f>
        <v>0</v>
      </c>
      <c r="AB77" s="14" t="str">
        <f>VLOOKUP(D77,'Obs Conc_2'!$C$23:$Q$78,13,FALSE)</f>
        <v>OOR &lt;</v>
      </c>
      <c r="AC77" s="15">
        <f>VLOOKUP(D77,'Obs Conc %CV_2'!$C$23:$Q$78,13,FALSE)</f>
        <v>0</v>
      </c>
      <c r="AD77" s="14" t="str">
        <f>VLOOKUP(D77,'Obs Conc_2'!$C$23:$Q$78,14,FALSE)</f>
        <v>OOR &lt;</v>
      </c>
      <c r="AE77" s="15">
        <f>VLOOKUP(D77,'Obs Conc %CV_2'!$C$23:$Q$78,14,FALSE)</f>
        <v>0</v>
      </c>
      <c r="AF77" s="14" t="str">
        <f>VLOOKUP(D77,'Obs Conc_2'!$C$23:$Q$78,15,FALSE)</f>
        <v>OOR &lt;</v>
      </c>
      <c r="AG77" s="15">
        <f>VLOOKUP(D77,'Obs Conc %CV_2'!$C$23:$Q$78,15,FALSE)</f>
        <v>0</v>
      </c>
    </row>
    <row r="78" spans="1:33" x14ac:dyDescent="0.2">
      <c r="A78" s="2" t="s">
        <v>3</v>
      </c>
      <c r="B78" s="3" t="s">
        <v>35</v>
      </c>
      <c r="C78" s="2" t="s">
        <v>39</v>
      </c>
      <c r="D78" s="6" t="s">
        <v>196</v>
      </c>
      <c r="E78" s="12" t="s">
        <v>0</v>
      </c>
      <c r="F78" s="14" t="str">
        <f>VLOOKUP(D78,'Obs Conc_2'!$C$23:$Q$78,2,FALSE)</f>
        <v>OOR &lt;</v>
      </c>
      <c r="G78" s="15">
        <f>VLOOKUP(D78,'Obs Conc %CV_2'!$C$23:$Q$78,2,FALSE)</f>
        <v>0</v>
      </c>
      <c r="H78" s="14" t="str">
        <f>VLOOKUP(F78,'Obs Conc_2'!$E$23:$S$78,3,FALSE)</f>
        <v>OOR &lt;</v>
      </c>
      <c r="I78" s="15">
        <f>VLOOKUP(D78,'Obs Conc %CV_2'!$C$23:$Q$78,3,FALSE)</f>
        <v>0</v>
      </c>
      <c r="J78" s="14" t="str">
        <f>VLOOKUP(D78,'Obs Conc_2'!$C$23:$Q$78,4,FALSE)</f>
        <v>OOR &lt;</v>
      </c>
      <c r="K78" s="15">
        <f>VLOOKUP(D78,'Obs Conc %CV_2'!$C$23:$Q$78,4,FALSE)</f>
        <v>0</v>
      </c>
      <c r="L78" s="14" t="str">
        <f>VLOOKUP(D78,'Obs Conc_2'!$C$23:$Q$78,5,FALSE)</f>
        <v>OOR &lt;</v>
      </c>
      <c r="M78" s="15">
        <f>VLOOKUP(D78,'Obs Conc %CV_2'!$C$23:$Q$78,5,FALSE)</f>
        <v>0</v>
      </c>
      <c r="N78" s="14" t="str">
        <f>VLOOKUP(D78,'Obs Conc_2'!$C$23:$Q$78,6,FALSE)</f>
        <v>OOR &lt;</v>
      </c>
      <c r="O78" s="15">
        <f>VLOOKUP(D78,'Obs Conc %CV_2'!$C$23:$Q$78,6,FALSE)</f>
        <v>0</v>
      </c>
      <c r="P78" s="14">
        <f>VLOOKUP(D78,'Obs Conc_2'!$C$23:$Q$78,7,FALSE)</f>
        <v>2566.4</v>
      </c>
      <c r="Q78" s="15">
        <f>VLOOKUP(D78,'Obs Conc %CV_2'!$C$23:$Q$78,7,FALSE)</f>
        <v>0</v>
      </c>
      <c r="R78" s="14">
        <f>VLOOKUP(D78,'Obs Conc_2'!$C$23:$Q$78,8,FALSE)</f>
        <v>1088.49</v>
      </c>
      <c r="S78" s="15">
        <f>VLOOKUP(D78,'Obs Conc %CV_2'!$C$23:$Q$78,8,FALSE)</f>
        <v>0</v>
      </c>
      <c r="T78" s="14">
        <f>VLOOKUP(D78,'Obs Conc_2'!$C$23:$Q$78,9,FALSE)</f>
        <v>422.07</v>
      </c>
      <c r="U78" s="15">
        <f>VLOOKUP(D78,'Obs Conc %CV_2'!$C$23:$Q$78,9,FALSE)</f>
        <v>0</v>
      </c>
      <c r="V78" s="14">
        <f>VLOOKUP(D78,'Obs Conc_2'!$C$23:$Q$78,10,FALSE)</f>
        <v>545.49</v>
      </c>
      <c r="W78" s="15">
        <f>VLOOKUP(D78,'Obs Conc %CV_2'!$C$23:$Q$78,10,FALSE)</f>
        <v>0</v>
      </c>
      <c r="X78" s="14" t="str">
        <f>VLOOKUP(D78,'Obs Conc_2'!$C$23:$Q$78,11,FALSE)</f>
        <v>OOR &lt;</v>
      </c>
      <c r="Y78" s="15">
        <f>VLOOKUP(D78,'Obs Conc %CV_2'!$C$23:$Q$78,11,FALSE)</f>
        <v>0</v>
      </c>
      <c r="Z78" s="14" t="str">
        <f>VLOOKUP(D78,'Obs Conc_2'!$C$23:$Q$78,12,FALSE)</f>
        <v>OOR &lt;</v>
      </c>
      <c r="AA78" s="15">
        <f>VLOOKUP(D78,'Obs Conc %CV_2'!$C$23:$Q$78,12,FALSE)</f>
        <v>0</v>
      </c>
      <c r="AB78" s="14" t="str">
        <f>VLOOKUP(D78,'Obs Conc_2'!$C$23:$Q$78,13,FALSE)</f>
        <v>OOR &lt;</v>
      </c>
      <c r="AC78" s="15">
        <f>VLOOKUP(D78,'Obs Conc %CV_2'!$C$23:$Q$78,13,FALSE)</f>
        <v>0</v>
      </c>
      <c r="AD78" s="14" t="str">
        <f>VLOOKUP(D78,'Obs Conc_2'!$C$23:$Q$78,14,FALSE)</f>
        <v>OOR &lt;</v>
      </c>
      <c r="AE78" s="15">
        <f>VLOOKUP(D78,'Obs Conc %CV_2'!$C$23:$Q$78,14,FALSE)</f>
        <v>0</v>
      </c>
      <c r="AF78" s="14" t="str">
        <f>VLOOKUP(D78,'Obs Conc_2'!$C$23:$Q$78,15,FALSE)</f>
        <v>OOR &lt;</v>
      </c>
      <c r="AG78" s="15">
        <f>VLOOKUP(D78,'Obs Conc %CV_2'!$C$23:$Q$78,15,FALSE)</f>
        <v>0</v>
      </c>
    </row>
    <row r="79" spans="1:33" x14ac:dyDescent="0.2">
      <c r="A79" s="2" t="s">
        <v>3</v>
      </c>
      <c r="B79" s="3" t="s">
        <v>35</v>
      </c>
      <c r="C79" s="2" t="s">
        <v>38</v>
      </c>
      <c r="D79" s="6" t="s">
        <v>197</v>
      </c>
      <c r="E79" s="12" t="s">
        <v>0</v>
      </c>
      <c r="F79" s="14" t="str">
        <f>VLOOKUP(D79,'Obs Conc_2'!$C$23:$Q$78,2,FALSE)</f>
        <v>OOR &lt;</v>
      </c>
      <c r="G79" s="15">
        <f>VLOOKUP(D79,'Obs Conc %CV_2'!$C$23:$Q$78,2,FALSE)</f>
        <v>0</v>
      </c>
      <c r="H79" s="14" t="str">
        <f>VLOOKUP(F79,'Obs Conc_2'!$E$23:$S$78,3,FALSE)</f>
        <v>OOR &lt;</v>
      </c>
      <c r="I79" s="15">
        <f>VLOOKUP(D79,'Obs Conc %CV_2'!$C$23:$Q$78,3,FALSE)</f>
        <v>0</v>
      </c>
      <c r="J79" s="14" t="str">
        <f>VLOOKUP(D79,'Obs Conc_2'!$C$23:$Q$78,4,FALSE)</f>
        <v>OOR &lt;</v>
      </c>
      <c r="K79" s="15">
        <f>VLOOKUP(D79,'Obs Conc %CV_2'!$C$23:$Q$78,4,FALSE)</f>
        <v>0</v>
      </c>
      <c r="L79" s="14" t="str">
        <f>VLOOKUP(D79,'Obs Conc_2'!$C$23:$Q$78,5,FALSE)</f>
        <v>OOR &lt;</v>
      </c>
      <c r="M79" s="15">
        <f>VLOOKUP(D79,'Obs Conc %CV_2'!$C$23:$Q$78,5,FALSE)</f>
        <v>0</v>
      </c>
      <c r="N79" s="14" t="str">
        <f>VLOOKUP(D79,'Obs Conc_2'!$C$23:$Q$78,6,FALSE)</f>
        <v>OOR &lt;</v>
      </c>
      <c r="O79" s="15">
        <f>VLOOKUP(D79,'Obs Conc %CV_2'!$C$23:$Q$78,6,FALSE)</f>
        <v>0</v>
      </c>
      <c r="P79" s="14">
        <f>VLOOKUP(D79,'Obs Conc_2'!$C$23:$Q$78,7,FALSE)</f>
        <v>49.67</v>
      </c>
      <c r="Q79" s="15">
        <f>VLOOKUP(D79,'Obs Conc %CV_2'!$C$23:$Q$78,7,FALSE)</f>
        <v>0</v>
      </c>
      <c r="R79" s="14">
        <f>VLOOKUP(D79,'Obs Conc_2'!$C$23:$Q$78,8,FALSE)</f>
        <v>16.420000000000002</v>
      </c>
      <c r="S79" s="15">
        <f>VLOOKUP(D79,'Obs Conc %CV_2'!$C$23:$Q$78,8,FALSE)</f>
        <v>0</v>
      </c>
      <c r="T79" s="14">
        <f>VLOOKUP(D79,'Obs Conc_2'!$C$23:$Q$78,9,FALSE)</f>
        <v>5.87</v>
      </c>
      <c r="U79" s="15">
        <f>VLOOKUP(D79,'Obs Conc %CV_2'!$C$23:$Q$78,9,FALSE)</f>
        <v>0</v>
      </c>
      <c r="V79" s="14">
        <f>VLOOKUP(D79,'Obs Conc_2'!$C$23:$Q$78,10,FALSE)</f>
        <v>330.96</v>
      </c>
      <c r="W79" s="15">
        <f>VLOOKUP(D79,'Obs Conc %CV_2'!$C$23:$Q$78,10,FALSE)</f>
        <v>0</v>
      </c>
      <c r="X79" s="14" t="str">
        <f>VLOOKUP(D79,'Obs Conc_2'!$C$23:$Q$78,11,FALSE)</f>
        <v>OOR &lt;</v>
      </c>
      <c r="Y79" s="15">
        <f>VLOOKUP(D79,'Obs Conc %CV_2'!$C$23:$Q$78,11,FALSE)</f>
        <v>0</v>
      </c>
      <c r="Z79" s="14" t="str">
        <f>VLOOKUP(D79,'Obs Conc_2'!$C$23:$Q$78,12,FALSE)</f>
        <v>OOR &lt;</v>
      </c>
      <c r="AA79" s="15">
        <f>VLOOKUP(D79,'Obs Conc %CV_2'!$C$23:$Q$78,12,FALSE)</f>
        <v>0</v>
      </c>
      <c r="AB79" s="14" t="str">
        <f>VLOOKUP(D79,'Obs Conc_2'!$C$23:$Q$78,13,FALSE)</f>
        <v>OOR &lt;</v>
      </c>
      <c r="AC79" s="15">
        <f>VLOOKUP(D79,'Obs Conc %CV_2'!$C$23:$Q$78,13,FALSE)</f>
        <v>0</v>
      </c>
      <c r="AD79" s="14" t="str">
        <f>VLOOKUP(D79,'Obs Conc_2'!$C$23:$Q$78,14,FALSE)</f>
        <v>OOR &lt;</v>
      </c>
      <c r="AE79" s="15">
        <f>VLOOKUP(D79,'Obs Conc %CV_2'!$C$23:$Q$78,14,FALSE)</f>
        <v>0</v>
      </c>
      <c r="AF79" s="14" t="str">
        <f>VLOOKUP(D79,'Obs Conc_2'!$C$23:$Q$78,15,FALSE)</f>
        <v>OOR &lt;</v>
      </c>
      <c r="AG79" s="15">
        <f>VLOOKUP(D79,'Obs Conc %CV_2'!$C$23:$Q$78,15,FALSE)</f>
        <v>0</v>
      </c>
    </row>
    <row r="80" spans="1:33" x14ac:dyDescent="0.2">
      <c r="A80" s="2" t="s">
        <v>3</v>
      </c>
      <c r="B80" s="3" t="s">
        <v>35</v>
      </c>
      <c r="C80" s="2" t="s">
        <v>37</v>
      </c>
      <c r="D80" s="6" t="s">
        <v>198</v>
      </c>
      <c r="E80" s="12" t="s">
        <v>0</v>
      </c>
      <c r="F80" s="14" t="str">
        <f>VLOOKUP(D80,'Obs Conc_2'!$C$23:$Q$78,2,FALSE)</f>
        <v>OOR &lt;</v>
      </c>
      <c r="G80" s="15">
        <f>VLOOKUP(D80,'Obs Conc %CV_2'!$C$23:$Q$78,2,FALSE)</f>
        <v>0</v>
      </c>
      <c r="H80" s="14" t="str">
        <f>VLOOKUP(F80,'Obs Conc_2'!$E$23:$S$78,3,FALSE)</f>
        <v>OOR &lt;</v>
      </c>
      <c r="I80" s="15">
        <f>VLOOKUP(D80,'Obs Conc %CV_2'!$C$23:$Q$78,3,FALSE)</f>
        <v>0</v>
      </c>
      <c r="J80" s="14" t="str">
        <f>VLOOKUP(D80,'Obs Conc_2'!$C$23:$Q$78,4,FALSE)</f>
        <v>OOR &lt;</v>
      </c>
      <c r="K80" s="15">
        <f>VLOOKUP(D80,'Obs Conc %CV_2'!$C$23:$Q$78,4,FALSE)</f>
        <v>0</v>
      </c>
      <c r="L80" s="14" t="str">
        <f>VLOOKUP(D80,'Obs Conc_2'!$C$23:$Q$78,5,FALSE)</f>
        <v>OOR &lt;</v>
      </c>
      <c r="M80" s="15">
        <f>VLOOKUP(D80,'Obs Conc %CV_2'!$C$23:$Q$78,5,FALSE)</f>
        <v>0</v>
      </c>
      <c r="N80" s="14" t="str">
        <f>VLOOKUP(D80,'Obs Conc_2'!$C$23:$Q$78,6,FALSE)</f>
        <v>OOR &lt;</v>
      </c>
      <c r="O80" s="15">
        <f>VLOOKUP(D80,'Obs Conc %CV_2'!$C$23:$Q$78,6,FALSE)</f>
        <v>0</v>
      </c>
      <c r="P80" s="14">
        <f>VLOOKUP(D80,'Obs Conc_2'!$C$23:$Q$78,7,FALSE)</f>
        <v>466.22</v>
      </c>
      <c r="Q80" s="15">
        <f>VLOOKUP(D80,'Obs Conc %CV_2'!$C$23:$Q$78,7,FALSE)</f>
        <v>0</v>
      </c>
      <c r="R80" s="14">
        <f>VLOOKUP(D80,'Obs Conc_2'!$C$23:$Q$78,8,FALSE)</f>
        <v>12.64</v>
      </c>
      <c r="S80" s="15">
        <f>VLOOKUP(D80,'Obs Conc %CV_2'!$C$23:$Q$78,8,FALSE)</f>
        <v>0</v>
      </c>
      <c r="T80" s="14">
        <f>VLOOKUP(D80,'Obs Conc_2'!$C$23:$Q$78,9,FALSE)</f>
        <v>9.61</v>
      </c>
      <c r="U80" s="15">
        <f>VLOOKUP(D80,'Obs Conc %CV_2'!$C$23:$Q$78,9,FALSE)</f>
        <v>0</v>
      </c>
      <c r="V80" s="14">
        <f>VLOOKUP(D80,'Obs Conc_2'!$C$23:$Q$78,10,FALSE)</f>
        <v>364.78</v>
      </c>
      <c r="W80" s="15">
        <f>VLOOKUP(D80,'Obs Conc %CV_2'!$C$23:$Q$78,10,FALSE)</f>
        <v>0</v>
      </c>
      <c r="X80" s="14" t="str">
        <f>VLOOKUP(D80,'Obs Conc_2'!$C$23:$Q$78,11,FALSE)</f>
        <v>OOR &lt;</v>
      </c>
      <c r="Y80" s="15">
        <f>VLOOKUP(D80,'Obs Conc %CV_2'!$C$23:$Q$78,11,FALSE)</f>
        <v>0</v>
      </c>
      <c r="Z80" s="14" t="str">
        <f>VLOOKUP(D80,'Obs Conc_2'!$C$23:$Q$78,12,FALSE)</f>
        <v>OOR &lt;</v>
      </c>
      <c r="AA80" s="15">
        <f>VLOOKUP(D80,'Obs Conc %CV_2'!$C$23:$Q$78,12,FALSE)</f>
        <v>0</v>
      </c>
      <c r="AB80" s="14" t="str">
        <f>VLOOKUP(D80,'Obs Conc_2'!$C$23:$Q$78,13,FALSE)</f>
        <v>OOR &lt;</v>
      </c>
      <c r="AC80" s="15">
        <f>VLOOKUP(D80,'Obs Conc %CV_2'!$C$23:$Q$78,13,FALSE)</f>
        <v>0</v>
      </c>
      <c r="AD80" s="14" t="str">
        <f>VLOOKUP(D80,'Obs Conc_2'!$C$23:$Q$78,14,FALSE)</f>
        <v>OOR &lt;</v>
      </c>
      <c r="AE80" s="15">
        <f>VLOOKUP(D80,'Obs Conc %CV_2'!$C$23:$Q$78,14,FALSE)</f>
        <v>0</v>
      </c>
      <c r="AF80" s="14" t="str">
        <f>VLOOKUP(D80,'Obs Conc_2'!$C$23:$Q$78,15,FALSE)</f>
        <v>OOR &lt;</v>
      </c>
      <c r="AG80" s="15">
        <f>VLOOKUP(D80,'Obs Conc %CV_2'!$C$23:$Q$78,15,FALSE)</f>
        <v>0</v>
      </c>
    </row>
    <row r="81" spans="1:33" x14ac:dyDescent="0.2">
      <c r="A81" s="2" t="s">
        <v>3</v>
      </c>
      <c r="B81" s="3" t="s">
        <v>35</v>
      </c>
      <c r="C81" s="2" t="s">
        <v>36</v>
      </c>
      <c r="D81" s="6" t="s">
        <v>199</v>
      </c>
      <c r="E81" s="12" t="s">
        <v>0</v>
      </c>
      <c r="F81" s="14" t="str">
        <f>VLOOKUP(D81,'Obs Conc_2'!$C$23:$Q$78,2,FALSE)</f>
        <v>OOR &lt;</v>
      </c>
      <c r="G81" s="15">
        <f>VLOOKUP(D81,'Obs Conc %CV_2'!$C$23:$Q$78,2,FALSE)</f>
        <v>0</v>
      </c>
      <c r="H81" s="14" t="str">
        <f>VLOOKUP(F81,'Obs Conc_2'!$E$23:$S$78,3,FALSE)</f>
        <v>OOR &lt;</v>
      </c>
      <c r="I81" s="15">
        <f>VLOOKUP(D81,'Obs Conc %CV_2'!$C$23:$Q$78,3,FALSE)</f>
        <v>0</v>
      </c>
      <c r="J81" s="14" t="str">
        <f>VLOOKUP(D81,'Obs Conc_2'!$C$23:$Q$78,4,FALSE)</f>
        <v>OOR &lt;</v>
      </c>
      <c r="K81" s="15">
        <f>VLOOKUP(D81,'Obs Conc %CV_2'!$C$23:$Q$78,4,FALSE)</f>
        <v>0</v>
      </c>
      <c r="L81" s="14" t="str">
        <f>VLOOKUP(D81,'Obs Conc_2'!$C$23:$Q$78,5,FALSE)</f>
        <v>OOR &lt;</v>
      </c>
      <c r="M81" s="15">
        <f>VLOOKUP(D81,'Obs Conc %CV_2'!$C$23:$Q$78,5,FALSE)</f>
        <v>0</v>
      </c>
      <c r="N81" s="14" t="str">
        <f>VLOOKUP(D81,'Obs Conc_2'!$C$23:$Q$78,6,FALSE)</f>
        <v>OOR &lt;</v>
      </c>
      <c r="O81" s="15">
        <f>VLOOKUP(D81,'Obs Conc %CV_2'!$C$23:$Q$78,6,FALSE)</f>
        <v>0</v>
      </c>
      <c r="P81" s="14">
        <f>VLOOKUP(D81,'Obs Conc_2'!$C$23:$Q$78,7,FALSE)</f>
        <v>101.62</v>
      </c>
      <c r="Q81" s="15">
        <f>VLOOKUP(D81,'Obs Conc %CV_2'!$C$23:$Q$78,7,FALSE)</f>
        <v>0</v>
      </c>
      <c r="R81" s="14">
        <f>VLOOKUP(D81,'Obs Conc_2'!$C$23:$Q$78,8,FALSE)</f>
        <v>12.36</v>
      </c>
      <c r="S81" s="15">
        <f>VLOOKUP(D81,'Obs Conc %CV_2'!$C$23:$Q$78,8,FALSE)</f>
        <v>0</v>
      </c>
      <c r="T81" s="14" t="str">
        <f>VLOOKUP(D81,'Obs Conc_2'!$C$23:$Q$78,9,FALSE)</f>
        <v>OOR &lt;</v>
      </c>
      <c r="U81" s="15">
        <f>VLOOKUP(D81,'Obs Conc %CV_2'!$C$23:$Q$78,9,FALSE)</f>
        <v>0</v>
      </c>
      <c r="V81" s="14">
        <f>VLOOKUP(D81,'Obs Conc_2'!$C$23:$Q$78,10,FALSE)</f>
        <v>413.48</v>
      </c>
      <c r="W81" s="15">
        <f>VLOOKUP(D81,'Obs Conc %CV_2'!$C$23:$Q$78,10,FALSE)</f>
        <v>0</v>
      </c>
      <c r="X81" s="14" t="str">
        <f>VLOOKUP(D81,'Obs Conc_2'!$C$23:$Q$78,11,FALSE)</f>
        <v>OOR &lt;</v>
      </c>
      <c r="Y81" s="15">
        <f>VLOOKUP(D81,'Obs Conc %CV_2'!$C$23:$Q$78,11,FALSE)</f>
        <v>0</v>
      </c>
      <c r="Z81" s="14" t="str">
        <f>VLOOKUP(D81,'Obs Conc_2'!$C$23:$Q$78,12,FALSE)</f>
        <v>OOR &lt;</v>
      </c>
      <c r="AA81" s="15">
        <f>VLOOKUP(D81,'Obs Conc %CV_2'!$C$23:$Q$78,12,FALSE)</f>
        <v>0</v>
      </c>
      <c r="AB81" s="14" t="str">
        <f>VLOOKUP(D81,'Obs Conc_2'!$C$23:$Q$78,13,FALSE)</f>
        <v>OOR &lt;</v>
      </c>
      <c r="AC81" s="15">
        <f>VLOOKUP(D81,'Obs Conc %CV_2'!$C$23:$Q$78,13,FALSE)</f>
        <v>0</v>
      </c>
      <c r="AD81" s="14" t="str">
        <f>VLOOKUP(D81,'Obs Conc_2'!$C$23:$Q$78,14,FALSE)</f>
        <v>OOR &lt;</v>
      </c>
      <c r="AE81" s="15">
        <f>VLOOKUP(D81,'Obs Conc %CV_2'!$C$23:$Q$78,14,FALSE)</f>
        <v>0</v>
      </c>
      <c r="AF81" s="14" t="str">
        <f>VLOOKUP(D81,'Obs Conc_2'!$C$23:$Q$78,15,FALSE)</f>
        <v>OOR &lt;</v>
      </c>
      <c r="AG81" s="15">
        <f>VLOOKUP(D81,'Obs Conc %CV_2'!$C$23:$Q$78,15,FALSE)</f>
        <v>0</v>
      </c>
    </row>
    <row r="82" spans="1:33" x14ac:dyDescent="0.2">
      <c r="A82" s="2" t="s">
        <v>3</v>
      </c>
      <c r="B82" s="3" t="s">
        <v>35</v>
      </c>
      <c r="C82" s="2" t="s">
        <v>34</v>
      </c>
      <c r="D82" s="6" t="s">
        <v>200</v>
      </c>
      <c r="E82" s="12" t="s">
        <v>0</v>
      </c>
      <c r="F82" s="14" t="str">
        <f>VLOOKUP(D82,'Obs Conc_2'!$C$23:$Q$78,2,FALSE)</f>
        <v>OOR &lt;</v>
      </c>
      <c r="G82" s="15">
        <f>VLOOKUP(D82,'Obs Conc %CV_2'!$C$23:$Q$78,2,FALSE)</f>
        <v>0</v>
      </c>
      <c r="H82" s="14" t="str">
        <f>VLOOKUP(F82,'Obs Conc_2'!$E$23:$S$78,3,FALSE)</f>
        <v>OOR &lt;</v>
      </c>
      <c r="I82" s="15">
        <f>VLOOKUP(D82,'Obs Conc %CV_2'!$C$23:$Q$78,3,FALSE)</f>
        <v>0</v>
      </c>
      <c r="J82" s="14" t="str">
        <f>VLOOKUP(D82,'Obs Conc_2'!$C$23:$Q$78,4,FALSE)</f>
        <v>OOR &lt;</v>
      </c>
      <c r="K82" s="15">
        <f>VLOOKUP(D82,'Obs Conc %CV_2'!$C$23:$Q$78,4,FALSE)</f>
        <v>0</v>
      </c>
      <c r="L82" s="14" t="str">
        <f>VLOOKUP(D82,'Obs Conc_2'!$C$23:$Q$78,5,FALSE)</f>
        <v>OOR &lt;</v>
      </c>
      <c r="M82" s="15">
        <f>VLOOKUP(D82,'Obs Conc %CV_2'!$C$23:$Q$78,5,FALSE)</f>
        <v>0</v>
      </c>
      <c r="N82" s="14" t="str">
        <f>VLOOKUP(D82,'Obs Conc_2'!$C$23:$Q$78,6,FALSE)</f>
        <v>OOR &lt;</v>
      </c>
      <c r="O82" s="15">
        <f>VLOOKUP(D82,'Obs Conc %CV_2'!$C$23:$Q$78,6,FALSE)</f>
        <v>0</v>
      </c>
      <c r="P82" s="14">
        <f>VLOOKUP(D82,'Obs Conc_2'!$C$23:$Q$78,7,FALSE)</f>
        <v>53.14</v>
      </c>
      <c r="Q82" s="15">
        <f>VLOOKUP(D82,'Obs Conc %CV_2'!$C$23:$Q$78,7,FALSE)</f>
        <v>0</v>
      </c>
      <c r="R82" s="14">
        <f>VLOOKUP(D82,'Obs Conc_2'!$C$23:$Q$78,8,FALSE)</f>
        <v>7.32</v>
      </c>
      <c r="S82" s="15">
        <f>VLOOKUP(D82,'Obs Conc %CV_2'!$C$23:$Q$78,8,FALSE)</f>
        <v>0</v>
      </c>
      <c r="T82" s="14" t="str">
        <f>VLOOKUP(D82,'Obs Conc_2'!$C$23:$Q$78,9,FALSE)</f>
        <v>OOR &lt;</v>
      </c>
      <c r="U82" s="15">
        <f>VLOOKUP(D82,'Obs Conc %CV_2'!$C$23:$Q$78,9,FALSE)</f>
        <v>0</v>
      </c>
      <c r="V82" s="14">
        <f>VLOOKUP(D82,'Obs Conc_2'!$C$23:$Q$78,10,FALSE)</f>
        <v>317.77</v>
      </c>
      <c r="W82" s="15">
        <f>VLOOKUP(D82,'Obs Conc %CV_2'!$C$23:$Q$78,10,FALSE)</f>
        <v>0</v>
      </c>
      <c r="X82" s="14" t="str">
        <f>VLOOKUP(D82,'Obs Conc_2'!$C$23:$Q$78,11,FALSE)</f>
        <v>OOR &lt;</v>
      </c>
      <c r="Y82" s="15">
        <f>VLOOKUP(D82,'Obs Conc %CV_2'!$C$23:$Q$78,11,FALSE)</f>
        <v>0</v>
      </c>
      <c r="Z82" s="14" t="str">
        <f>VLOOKUP(D82,'Obs Conc_2'!$C$23:$Q$78,12,FALSE)</f>
        <v>OOR &lt;</v>
      </c>
      <c r="AA82" s="15">
        <f>VLOOKUP(D82,'Obs Conc %CV_2'!$C$23:$Q$78,12,FALSE)</f>
        <v>0</v>
      </c>
      <c r="AB82" s="14" t="str">
        <f>VLOOKUP(D82,'Obs Conc_2'!$C$23:$Q$78,13,FALSE)</f>
        <v>OOR &lt;</v>
      </c>
      <c r="AC82" s="15">
        <f>VLOOKUP(D82,'Obs Conc %CV_2'!$C$23:$Q$78,13,FALSE)</f>
        <v>0</v>
      </c>
      <c r="AD82" s="14" t="str">
        <f>VLOOKUP(D82,'Obs Conc_2'!$C$23:$Q$78,14,FALSE)</f>
        <v>OOR &lt;</v>
      </c>
      <c r="AE82" s="15">
        <f>VLOOKUP(D82,'Obs Conc %CV_2'!$C$23:$Q$78,14,FALSE)</f>
        <v>0</v>
      </c>
      <c r="AF82" s="14" t="str">
        <f>VLOOKUP(D82,'Obs Conc_2'!$C$23:$Q$78,15,FALSE)</f>
        <v>OOR &lt;</v>
      </c>
      <c r="AG82" s="15">
        <f>VLOOKUP(D82,'Obs Conc %CV_2'!$C$23:$Q$78,15,FALSE)</f>
        <v>0</v>
      </c>
    </row>
    <row r="83" spans="1:33" x14ac:dyDescent="0.2">
      <c r="A83" s="2" t="s">
        <v>3</v>
      </c>
      <c r="B83" s="3" t="s">
        <v>2</v>
      </c>
      <c r="C83" s="2" t="s">
        <v>33</v>
      </c>
      <c r="D83" s="6" t="s">
        <v>201</v>
      </c>
      <c r="E83" s="12" t="s">
        <v>0</v>
      </c>
      <c r="F83" s="14" t="str">
        <f>VLOOKUP(D83,'Obs Conc_2'!$C$23:$Q$78,2,FALSE)</f>
        <v>OOR &lt;</v>
      </c>
      <c r="G83" s="15">
        <f>VLOOKUP(D83,'Obs Conc %CV_2'!$C$23:$Q$78,2,FALSE)</f>
        <v>0</v>
      </c>
      <c r="H83" s="14" t="str">
        <f>VLOOKUP(F83,'Obs Conc_2'!$E$23:$S$78,3,FALSE)</f>
        <v>OOR &lt;</v>
      </c>
      <c r="I83" s="15">
        <f>VLOOKUP(D83,'Obs Conc %CV_2'!$C$23:$Q$78,3,FALSE)</f>
        <v>0</v>
      </c>
      <c r="J83" s="14" t="str">
        <f>VLOOKUP(D83,'Obs Conc_2'!$C$23:$Q$78,4,FALSE)</f>
        <v>OOR &lt;</v>
      </c>
      <c r="K83" s="15">
        <f>VLOOKUP(D83,'Obs Conc %CV_2'!$C$23:$Q$78,4,FALSE)</f>
        <v>0</v>
      </c>
      <c r="L83" s="14" t="str">
        <f>VLOOKUP(D83,'Obs Conc_2'!$C$23:$Q$78,5,FALSE)</f>
        <v>OOR &lt;</v>
      </c>
      <c r="M83" s="15">
        <f>VLOOKUP(D83,'Obs Conc %CV_2'!$C$23:$Q$78,5,FALSE)</f>
        <v>0</v>
      </c>
      <c r="N83" s="14" t="str">
        <f>VLOOKUP(D83,'Obs Conc_2'!$C$23:$Q$78,6,FALSE)</f>
        <v>OOR &lt;</v>
      </c>
      <c r="O83" s="15">
        <f>VLOOKUP(D83,'Obs Conc %CV_2'!$C$23:$Q$78,6,FALSE)</f>
        <v>0</v>
      </c>
      <c r="P83" s="14">
        <f>VLOOKUP(D83,'Obs Conc_2'!$C$23:$Q$78,7,FALSE)</f>
        <v>20.16</v>
      </c>
      <c r="Q83" s="15">
        <f>VLOOKUP(D83,'Obs Conc %CV_2'!$C$23:$Q$78,7,FALSE)</f>
        <v>0</v>
      </c>
      <c r="R83" s="14">
        <f>VLOOKUP(D83,'Obs Conc_2'!$C$23:$Q$78,8,FALSE)</f>
        <v>12.73</v>
      </c>
      <c r="S83" s="15">
        <f>VLOOKUP(D83,'Obs Conc %CV_2'!$C$23:$Q$78,8,FALSE)</f>
        <v>0</v>
      </c>
      <c r="T83" s="14">
        <f>VLOOKUP(D83,'Obs Conc_2'!$C$23:$Q$78,9,FALSE)</f>
        <v>10.17</v>
      </c>
      <c r="U83" s="15">
        <f>VLOOKUP(D83,'Obs Conc %CV_2'!$C$23:$Q$78,9,FALSE)</f>
        <v>0</v>
      </c>
      <c r="V83" s="14">
        <f>VLOOKUP(D83,'Obs Conc_2'!$C$23:$Q$78,10,FALSE)</f>
        <v>178.67</v>
      </c>
      <c r="W83" s="15">
        <f>VLOOKUP(D83,'Obs Conc %CV_2'!$C$23:$Q$78,10,FALSE)</f>
        <v>0</v>
      </c>
      <c r="X83" s="14" t="str">
        <f>VLOOKUP(D83,'Obs Conc_2'!$C$23:$Q$78,11,FALSE)</f>
        <v>OOR &lt;</v>
      </c>
      <c r="Y83" s="15">
        <f>VLOOKUP(D83,'Obs Conc %CV_2'!$C$23:$Q$78,11,FALSE)</f>
        <v>0</v>
      </c>
      <c r="Z83" s="14" t="str">
        <f>VLOOKUP(D83,'Obs Conc_2'!$C$23:$Q$78,12,FALSE)</f>
        <v>OOR &lt;</v>
      </c>
      <c r="AA83" s="15">
        <f>VLOOKUP(D83,'Obs Conc %CV_2'!$C$23:$Q$78,12,FALSE)</f>
        <v>0</v>
      </c>
      <c r="AB83" s="14" t="str">
        <f>VLOOKUP(D83,'Obs Conc_2'!$C$23:$Q$78,13,FALSE)</f>
        <v>OOR &lt;</v>
      </c>
      <c r="AC83" s="15">
        <f>VLOOKUP(D83,'Obs Conc %CV_2'!$C$23:$Q$78,13,FALSE)</f>
        <v>0</v>
      </c>
      <c r="AD83" s="14" t="str">
        <f>VLOOKUP(D83,'Obs Conc_2'!$C$23:$Q$78,14,FALSE)</f>
        <v>OOR &lt;</v>
      </c>
      <c r="AE83" s="15">
        <f>VLOOKUP(D83,'Obs Conc %CV_2'!$C$23:$Q$78,14,FALSE)</f>
        <v>0</v>
      </c>
      <c r="AF83" s="14" t="str">
        <f>VLOOKUP(D83,'Obs Conc_2'!$C$23:$Q$78,15,FALSE)</f>
        <v>OOR &lt;</v>
      </c>
      <c r="AG83" s="15">
        <f>VLOOKUP(D83,'Obs Conc %CV_2'!$C$23:$Q$78,15,FALSE)</f>
        <v>0</v>
      </c>
    </row>
    <row r="84" spans="1:33" x14ac:dyDescent="0.2">
      <c r="A84" s="2" t="s">
        <v>3</v>
      </c>
      <c r="B84" s="3" t="s">
        <v>2</v>
      </c>
      <c r="C84" s="2" t="s">
        <v>32</v>
      </c>
      <c r="D84" s="6" t="s">
        <v>202</v>
      </c>
      <c r="E84" s="12" t="s">
        <v>0</v>
      </c>
      <c r="F84" s="14" t="str">
        <f>VLOOKUP(D84,'Obs Conc_2'!$C$23:$Q$78,2,FALSE)</f>
        <v>OOR &lt;</v>
      </c>
      <c r="G84" s="15">
        <f>VLOOKUP(D84,'Obs Conc %CV_2'!$C$23:$Q$78,2,FALSE)</f>
        <v>0</v>
      </c>
      <c r="H84" s="14" t="str">
        <f>VLOOKUP(F84,'Obs Conc_2'!$E$23:$S$78,3,FALSE)</f>
        <v>OOR &lt;</v>
      </c>
      <c r="I84" s="15">
        <f>VLOOKUP(D84,'Obs Conc %CV_2'!$C$23:$Q$78,3,FALSE)</f>
        <v>0</v>
      </c>
      <c r="J84" s="14" t="str">
        <f>VLOOKUP(D84,'Obs Conc_2'!$C$23:$Q$78,4,FALSE)</f>
        <v>OOR &lt;</v>
      </c>
      <c r="K84" s="15">
        <f>VLOOKUP(D84,'Obs Conc %CV_2'!$C$23:$Q$78,4,FALSE)</f>
        <v>0</v>
      </c>
      <c r="L84" s="14" t="str">
        <f>VLOOKUP(D84,'Obs Conc_2'!$C$23:$Q$78,5,FALSE)</f>
        <v>OOR &lt;</v>
      </c>
      <c r="M84" s="15">
        <f>VLOOKUP(D84,'Obs Conc %CV_2'!$C$23:$Q$78,5,FALSE)</f>
        <v>0</v>
      </c>
      <c r="N84" s="14" t="str">
        <f>VLOOKUP(D84,'Obs Conc_2'!$C$23:$Q$78,6,FALSE)</f>
        <v>OOR &lt;</v>
      </c>
      <c r="O84" s="15">
        <f>VLOOKUP(D84,'Obs Conc %CV_2'!$C$23:$Q$78,6,FALSE)</f>
        <v>0</v>
      </c>
      <c r="P84" s="14">
        <f>VLOOKUP(D84,'Obs Conc_2'!$C$23:$Q$78,7,FALSE)</f>
        <v>27.93</v>
      </c>
      <c r="Q84" s="15">
        <f>VLOOKUP(D84,'Obs Conc %CV_2'!$C$23:$Q$78,7,FALSE)</f>
        <v>0</v>
      </c>
      <c r="R84" s="14">
        <f>VLOOKUP(D84,'Obs Conc_2'!$C$23:$Q$78,8,FALSE)</f>
        <v>25.41</v>
      </c>
      <c r="S84" s="15">
        <f>VLOOKUP(D84,'Obs Conc %CV_2'!$C$23:$Q$78,8,FALSE)</f>
        <v>0</v>
      </c>
      <c r="T84" s="14" t="str">
        <f>VLOOKUP(D84,'Obs Conc_2'!$C$23:$Q$78,9,FALSE)</f>
        <v>OOR &lt;</v>
      </c>
      <c r="U84" s="15">
        <f>VLOOKUP(D84,'Obs Conc %CV_2'!$C$23:$Q$78,9,FALSE)</f>
        <v>0</v>
      </c>
      <c r="V84" s="14">
        <f>VLOOKUP(D84,'Obs Conc_2'!$C$23:$Q$78,10,FALSE)</f>
        <v>749.58</v>
      </c>
      <c r="W84" s="15">
        <f>VLOOKUP(D84,'Obs Conc %CV_2'!$C$23:$Q$78,10,FALSE)</f>
        <v>0</v>
      </c>
      <c r="X84" s="14" t="str">
        <f>VLOOKUP(D84,'Obs Conc_2'!$C$23:$Q$78,11,FALSE)</f>
        <v>OOR &lt;</v>
      </c>
      <c r="Y84" s="15">
        <f>VLOOKUP(D84,'Obs Conc %CV_2'!$C$23:$Q$78,11,FALSE)</f>
        <v>0</v>
      </c>
      <c r="Z84" s="14" t="str">
        <f>VLOOKUP(D84,'Obs Conc_2'!$C$23:$Q$78,12,FALSE)</f>
        <v>OOR &lt;</v>
      </c>
      <c r="AA84" s="15">
        <f>VLOOKUP(D84,'Obs Conc %CV_2'!$C$23:$Q$78,12,FALSE)</f>
        <v>0</v>
      </c>
      <c r="AB84" s="14" t="str">
        <f>VLOOKUP(D84,'Obs Conc_2'!$C$23:$Q$78,13,FALSE)</f>
        <v>OOR &lt;</v>
      </c>
      <c r="AC84" s="15">
        <f>VLOOKUP(D84,'Obs Conc %CV_2'!$C$23:$Q$78,13,FALSE)</f>
        <v>0</v>
      </c>
      <c r="AD84" s="14" t="str">
        <f>VLOOKUP(D84,'Obs Conc_2'!$C$23:$Q$78,14,FALSE)</f>
        <v>OOR &lt;</v>
      </c>
      <c r="AE84" s="15">
        <f>VLOOKUP(D84,'Obs Conc %CV_2'!$C$23:$Q$78,14,FALSE)</f>
        <v>0</v>
      </c>
      <c r="AF84" s="14" t="str">
        <f>VLOOKUP(D84,'Obs Conc_2'!$C$23:$Q$78,15,FALSE)</f>
        <v>OOR &lt;</v>
      </c>
      <c r="AG84" s="15">
        <f>VLOOKUP(D84,'Obs Conc %CV_2'!$C$23:$Q$78,15,FALSE)</f>
        <v>0</v>
      </c>
    </row>
    <row r="85" spans="1:33" x14ac:dyDescent="0.2">
      <c r="A85" s="2" t="s">
        <v>3</v>
      </c>
      <c r="B85" s="3" t="s">
        <v>2</v>
      </c>
      <c r="C85" s="2" t="s">
        <v>31</v>
      </c>
      <c r="D85" s="6" t="s">
        <v>203</v>
      </c>
      <c r="E85" s="12" t="s">
        <v>0</v>
      </c>
      <c r="F85" s="14" t="str">
        <f>VLOOKUP(D85,'Obs Conc_2'!$C$23:$Q$78,2,FALSE)</f>
        <v>OOR &lt;</v>
      </c>
      <c r="G85" s="15">
        <f>VLOOKUP(D85,'Obs Conc %CV_2'!$C$23:$Q$78,2,FALSE)</f>
        <v>0</v>
      </c>
      <c r="H85" s="14" t="str">
        <f>VLOOKUP(F85,'Obs Conc_2'!$E$23:$S$78,3,FALSE)</f>
        <v>OOR &lt;</v>
      </c>
      <c r="I85" s="15">
        <f>VLOOKUP(D85,'Obs Conc %CV_2'!$C$23:$Q$78,3,FALSE)</f>
        <v>0</v>
      </c>
      <c r="J85" s="14" t="str">
        <f>VLOOKUP(D85,'Obs Conc_2'!$C$23:$Q$78,4,FALSE)</f>
        <v>OOR &lt;</v>
      </c>
      <c r="K85" s="15">
        <f>VLOOKUP(D85,'Obs Conc %CV_2'!$C$23:$Q$78,4,FALSE)</f>
        <v>0</v>
      </c>
      <c r="L85" s="14" t="str">
        <f>VLOOKUP(D85,'Obs Conc_2'!$C$23:$Q$78,5,FALSE)</f>
        <v>OOR &lt;</v>
      </c>
      <c r="M85" s="15">
        <f>VLOOKUP(D85,'Obs Conc %CV_2'!$C$23:$Q$78,5,FALSE)</f>
        <v>0</v>
      </c>
      <c r="N85" s="14" t="str">
        <f>VLOOKUP(D85,'Obs Conc_2'!$C$23:$Q$78,6,FALSE)</f>
        <v>OOR &lt;</v>
      </c>
      <c r="O85" s="15">
        <f>VLOOKUP(D85,'Obs Conc %CV_2'!$C$23:$Q$78,6,FALSE)</f>
        <v>0</v>
      </c>
      <c r="P85" s="14">
        <f>VLOOKUP(D85,'Obs Conc_2'!$C$23:$Q$78,7,FALSE)</f>
        <v>46.16</v>
      </c>
      <c r="Q85" s="15">
        <f>VLOOKUP(D85,'Obs Conc %CV_2'!$C$23:$Q$78,7,FALSE)</f>
        <v>0</v>
      </c>
      <c r="R85" s="14">
        <f>VLOOKUP(D85,'Obs Conc_2'!$C$23:$Q$78,8,FALSE)</f>
        <v>52.63</v>
      </c>
      <c r="S85" s="15">
        <f>VLOOKUP(D85,'Obs Conc %CV_2'!$C$23:$Q$78,8,FALSE)</f>
        <v>0</v>
      </c>
      <c r="T85" s="14" t="str">
        <f>VLOOKUP(D85,'Obs Conc_2'!$C$23:$Q$78,9,FALSE)</f>
        <v>OOR &lt;</v>
      </c>
      <c r="U85" s="15">
        <f>VLOOKUP(D85,'Obs Conc %CV_2'!$C$23:$Q$78,9,FALSE)</f>
        <v>0</v>
      </c>
      <c r="V85" s="14">
        <f>VLOOKUP(D85,'Obs Conc_2'!$C$23:$Q$78,10,FALSE)</f>
        <v>205.08</v>
      </c>
      <c r="W85" s="15">
        <f>VLOOKUP(D85,'Obs Conc %CV_2'!$C$23:$Q$78,10,FALSE)</f>
        <v>0</v>
      </c>
      <c r="X85" s="14" t="str">
        <f>VLOOKUP(D85,'Obs Conc_2'!$C$23:$Q$78,11,FALSE)</f>
        <v>OOR &lt;</v>
      </c>
      <c r="Y85" s="15">
        <f>VLOOKUP(D85,'Obs Conc %CV_2'!$C$23:$Q$78,11,FALSE)</f>
        <v>0</v>
      </c>
      <c r="Z85" s="14" t="str">
        <f>VLOOKUP(D85,'Obs Conc_2'!$C$23:$Q$78,12,FALSE)</f>
        <v>OOR &lt;</v>
      </c>
      <c r="AA85" s="15">
        <f>VLOOKUP(D85,'Obs Conc %CV_2'!$C$23:$Q$78,12,FALSE)</f>
        <v>0</v>
      </c>
      <c r="AB85" s="14" t="str">
        <f>VLOOKUP(D85,'Obs Conc_2'!$C$23:$Q$78,13,FALSE)</f>
        <v>OOR &lt;</v>
      </c>
      <c r="AC85" s="15">
        <f>VLOOKUP(D85,'Obs Conc %CV_2'!$C$23:$Q$78,13,FALSE)</f>
        <v>0</v>
      </c>
      <c r="AD85" s="14">
        <f>VLOOKUP(D85,'Obs Conc_2'!$C$23:$Q$78,14,FALSE)</f>
        <v>13.06</v>
      </c>
      <c r="AE85" s="15">
        <f>VLOOKUP(D85,'Obs Conc %CV_2'!$C$23:$Q$78,14,FALSE)</f>
        <v>0</v>
      </c>
      <c r="AF85" s="14" t="str">
        <f>VLOOKUP(D85,'Obs Conc_2'!$C$23:$Q$78,15,FALSE)</f>
        <v>OOR &lt;</v>
      </c>
      <c r="AG85" s="15">
        <f>VLOOKUP(D85,'Obs Conc %CV_2'!$C$23:$Q$78,15,FALSE)</f>
        <v>0</v>
      </c>
    </row>
    <row r="86" spans="1:33" x14ac:dyDescent="0.2">
      <c r="A86" s="2" t="s">
        <v>3</v>
      </c>
      <c r="B86" s="3" t="s">
        <v>2</v>
      </c>
      <c r="C86" s="2" t="s">
        <v>30</v>
      </c>
      <c r="D86" s="6" t="s">
        <v>204</v>
      </c>
      <c r="E86" s="12" t="s">
        <v>0</v>
      </c>
      <c r="F86" s="14" t="str">
        <f>VLOOKUP(D86,'Obs Conc_2'!$C$23:$Q$78,2,FALSE)</f>
        <v>OOR &lt;</v>
      </c>
      <c r="G86" s="15">
        <f>VLOOKUP(D86,'Obs Conc %CV_2'!$C$23:$Q$78,2,FALSE)</f>
        <v>0</v>
      </c>
      <c r="H86" s="14" t="str">
        <f>VLOOKUP(F86,'Obs Conc_2'!$E$23:$S$78,3,FALSE)</f>
        <v>OOR &lt;</v>
      </c>
      <c r="I86" s="15">
        <f>VLOOKUP(D86,'Obs Conc %CV_2'!$C$23:$Q$78,3,FALSE)</f>
        <v>0</v>
      </c>
      <c r="J86" s="14" t="str">
        <f>VLOOKUP(D86,'Obs Conc_2'!$C$23:$Q$78,4,FALSE)</f>
        <v>OOR &lt;</v>
      </c>
      <c r="K86" s="15">
        <f>VLOOKUP(D86,'Obs Conc %CV_2'!$C$23:$Q$78,4,FALSE)</f>
        <v>0</v>
      </c>
      <c r="L86" s="14" t="str">
        <f>VLOOKUP(D86,'Obs Conc_2'!$C$23:$Q$78,5,FALSE)</f>
        <v>OOR &lt;</v>
      </c>
      <c r="M86" s="15">
        <f>VLOOKUP(D86,'Obs Conc %CV_2'!$C$23:$Q$78,5,FALSE)</f>
        <v>0</v>
      </c>
      <c r="N86" s="14">
        <f>VLOOKUP(D86,'Obs Conc_2'!$C$23:$Q$78,6,FALSE)</f>
        <v>42.71</v>
      </c>
      <c r="O86" s="15">
        <f>VLOOKUP(D86,'Obs Conc %CV_2'!$C$23:$Q$78,6,FALSE)</f>
        <v>0</v>
      </c>
      <c r="P86" s="14">
        <f>VLOOKUP(D86,'Obs Conc_2'!$C$23:$Q$78,7,FALSE)</f>
        <v>2182</v>
      </c>
      <c r="Q86" s="15">
        <f>VLOOKUP(D86,'Obs Conc %CV_2'!$C$23:$Q$78,7,FALSE)</f>
        <v>0</v>
      </c>
      <c r="R86" s="14">
        <f>VLOOKUP(D86,'Obs Conc_2'!$C$23:$Q$78,8,FALSE)</f>
        <v>315.57</v>
      </c>
      <c r="S86" s="15">
        <f>VLOOKUP(D86,'Obs Conc %CV_2'!$C$23:$Q$78,8,FALSE)</f>
        <v>0</v>
      </c>
      <c r="T86" s="14">
        <f>VLOOKUP(D86,'Obs Conc_2'!$C$23:$Q$78,9,FALSE)</f>
        <v>48.47</v>
      </c>
      <c r="U86" s="15">
        <f>VLOOKUP(D86,'Obs Conc %CV_2'!$C$23:$Q$78,9,FALSE)</f>
        <v>0</v>
      </c>
      <c r="V86" s="14">
        <f>VLOOKUP(D86,'Obs Conc_2'!$C$23:$Q$78,10,FALSE)</f>
        <v>403.19</v>
      </c>
      <c r="W86" s="15">
        <f>VLOOKUP(D86,'Obs Conc %CV_2'!$C$23:$Q$78,10,FALSE)</f>
        <v>0</v>
      </c>
      <c r="X86" s="14" t="str">
        <f>VLOOKUP(D86,'Obs Conc_2'!$C$23:$Q$78,11,FALSE)</f>
        <v>OOR &lt;</v>
      </c>
      <c r="Y86" s="15">
        <f>VLOOKUP(D86,'Obs Conc %CV_2'!$C$23:$Q$78,11,FALSE)</f>
        <v>0</v>
      </c>
      <c r="Z86" s="14" t="str">
        <f>VLOOKUP(D86,'Obs Conc_2'!$C$23:$Q$78,12,FALSE)</f>
        <v>OOR &lt;</v>
      </c>
      <c r="AA86" s="15">
        <f>VLOOKUP(D86,'Obs Conc %CV_2'!$C$23:$Q$78,12,FALSE)</f>
        <v>0</v>
      </c>
      <c r="AB86" s="14" t="str">
        <f>VLOOKUP(D86,'Obs Conc_2'!$C$23:$Q$78,13,FALSE)</f>
        <v>OOR &lt;</v>
      </c>
      <c r="AC86" s="15">
        <f>VLOOKUP(D86,'Obs Conc %CV_2'!$C$23:$Q$78,13,FALSE)</f>
        <v>0</v>
      </c>
      <c r="AD86" s="14" t="str">
        <f>VLOOKUP(D86,'Obs Conc_2'!$C$23:$Q$78,14,FALSE)</f>
        <v>OOR &lt;</v>
      </c>
      <c r="AE86" s="15">
        <f>VLOOKUP(D86,'Obs Conc %CV_2'!$C$23:$Q$78,14,FALSE)</f>
        <v>0</v>
      </c>
      <c r="AF86" s="14" t="str">
        <f>VLOOKUP(D86,'Obs Conc_2'!$C$23:$Q$78,15,FALSE)</f>
        <v>OOR &lt;</v>
      </c>
      <c r="AG86" s="15">
        <f>VLOOKUP(D86,'Obs Conc %CV_2'!$C$23:$Q$78,15,FALSE)</f>
        <v>0</v>
      </c>
    </row>
    <row r="87" spans="1:33" x14ac:dyDescent="0.2">
      <c r="A87" s="2" t="s">
        <v>3</v>
      </c>
      <c r="B87" s="3" t="s">
        <v>2</v>
      </c>
      <c r="C87" s="2" t="s">
        <v>29</v>
      </c>
      <c r="D87" s="6" t="s">
        <v>205</v>
      </c>
      <c r="E87" s="12" t="s">
        <v>0</v>
      </c>
      <c r="F87" s="14" t="str">
        <f>VLOOKUP(D87,'Obs Conc_2'!$C$23:$Q$78,2,FALSE)</f>
        <v>OOR &lt;</v>
      </c>
      <c r="G87" s="15">
        <f>VLOOKUP(D87,'Obs Conc %CV_2'!$C$23:$Q$78,2,FALSE)</f>
        <v>0</v>
      </c>
      <c r="H87" s="14" t="str">
        <f>VLOOKUP(F87,'Obs Conc_2'!$E$23:$S$78,3,FALSE)</f>
        <v>OOR &lt;</v>
      </c>
      <c r="I87" s="15">
        <f>VLOOKUP(D87,'Obs Conc %CV_2'!$C$23:$Q$78,3,FALSE)</f>
        <v>0</v>
      </c>
      <c r="J87" s="14" t="str">
        <f>VLOOKUP(D87,'Obs Conc_2'!$C$23:$Q$78,4,FALSE)</f>
        <v>OOR &lt;</v>
      </c>
      <c r="K87" s="15">
        <f>VLOOKUP(D87,'Obs Conc %CV_2'!$C$23:$Q$78,4,FALSE)</f>
        <v>0</v>
      </c>
      <c r="L87" s="14" t="str">
        <f>VLOOKUP(D87,'Obs Conc_2'!$C$23:$Q$78,5,FALSE)</f>
        <v>OOR &lt;</v>
      </c>
      <c r="M87" s="15">
        <f>VLOOKUP(D87,'Obs Conc %CV_2'!$C$23:$Q$78,5,FALSE)</f>
        <v>0</v>
      </c>
      <c r="N87" s="14" t="str">
        <f>VLOOKUP(D87,'Obs Conc_2'!$C$23:$Q$78,6,FALSE)</f>
        <v>OOR &lt;</v>
      </c>
      <c r="O87" s="15">
        <f>VLOOKUP(D87,'Obs Conc %CV_2'!$C$23:$Q$78,6,FALSE)</f>
        <v>0</v>
      </c>
      <c r="P87" s="14">
        <f>VLOOKUP(D87,'Obs Conc_2'!$C$23:$Q$78,7,FALSE)</f>
        <v>31.69</v>
      </c>
      <c r="Q87" s="15">
        <f>VLOOKUP(D87,'Obs Conc %CV_2'!$C$23:$Q$78,7,FALSE)</f>
        <v>0</v>
      </c>
      <c r="R87" s="14">
        <f>VLOOKUP(D87,'Obs Conc_2'!$C$23:$Q$78,8,FALSE)</f>
        <v>12.54</v>
      </c>
      <c r="S87" s="15">
        <f>VLOOKUP(D87,'Obs Conc %CV_2'!$C$23:$Q$78,8,FALSE)</f>
        <v>0</v>
      </c>
      <c r="T87" s="14">
        <f>VLOOKUP(D87,'Obs Conc_2'!$C$23:$Q$78,9,FALSE)</f>
        <v>18.25</v>
      </c>
      <c r="U87" s="15">
        <f>VLOOKUP(D87,'Obs Conc %CV_2'!$C$23:$Q$78,9,FALSE)</f>
        <v>0</v>
      </c>
      <c r="V87" s="14">
        <f>VLOOKUP(D87,'Obs Conc_2'!$C$23:$Q$78,10,FALSE)</f>
        <v>525.78</v>
      </c>
      <c r="W87" s="15">
        <f>VLOOKUP(D87,'Obs Conc %CV_2'!$C$23:$Q$78,10,FALSE)</f>
        <v>0</v>
      </c>
      <c r="X87" s="14" t="str">
        <f>VLOOKUP(D87,'Obs Conc_2'!$C$23:$Q$78,11,FALSE)</f>
        <v>OOR &lt;</v>
      </c>
      <c r="Y87" s="15">
        <f>VLOOKUP(D87,'Obs Conc %CV_2'!$C$23:$Q$78,11,FALSE)</f>
        <v>0</v>
      </c>
      <c r="Z87" s="14" t="str">
        <f>VLOOKUP(D87,'Obs Conc_2'!$C$23:$Q$78,12,FALSE)</f>
        <v>OOR &lt;</v>
      </c>
      <c r="AA87" s="15">
        <f>VLOOKUP(D87,'Obs Conc %CV_2'!$C$23:$Q$78,12,FALSE)</f>
        <v>0</v>
      </c>
      <c r="AB87" s="14" t="str">
        <f>VLOOKUP(D87,'Obs Conc_2'!$C$23:$Q$78,13,FALSE)</f>
        <v>OOR &lt;</v>
      </c>
      <c r="AC87" s="15">
        <f>VLOOKUP(D87,'Obs Conc %CV_2'!$C$23:$Q$78,13,FALSE)</f>
        <v>0</v>
      </c>
      <c r="AD87" s="14" t="str">
        <f>VLOOKUP(D87,'Obs Conc_2'!$C$23:$Q$78,14,FALSE)</f>
        <v>OOR &lt;</v>
      </c>
      <c r="AE87" s="15">
        <f>VLOOKUP(D87,'Obs Conc %CV_2'!$C$23:$Q$78,14,FALSE)</f>
        <v>0</v>
      </c>
      <c r="AF87" s="14" t="str">
        <f>VLOOKUP(D87,'Obs Conc_2'!$C$23:$Q$78,15,FALSE)</f>
        <v>OOR &lt;</v>
      </c>
      <c r="AG87" s="15">
        <f>VLOOKUP(D87,'Obs Conc %CV_2'!$C$23:$Q$78,15,FALSE)</f>
        <v>0</v>
      </c>
    </row>
    <row r="88" spans="1:33" x14ac:dyDescent="0.2">
      <c r="A88" s="2" t="s">
        <v>3</v>
      </c>
      <c r="B88" s="3" t="s">
        <v>2</v>
      </c>
      <c r="C88" s="2" t="s">
        <v>28</v>
      </c>
      <c r="D88" s="6" t="s">
        <v>206</v>
      </c>
      <c r="E88" s="12" t="s">
        <v>0</v>
      </c>
      <c r="F88" s="14" t="str">
        <f>VLOOKUP(D88,'Obs Conc_2'!$C$23:$Q$78,2,FALSE)</f>
        <v>OOR &lt;</v>
      </c>
      <c r="G88" s="15">
        <f>VLOOKUP(D88,'Obs Conc %CV_2'!$C$23:$Q$78,2,FALSE)</f>
        <v>0</v>
      </c>
      <c r="H88" s="14" t="str">
        <f>VLOOKUP(F88,'Obs Conc_2'!$E$23:$S$78,3,FALSE)</f>
        <v>OOR &lt;</v>
      </c>
      <c r="I88" s="15">
        <f>VLOOKUP(D88,'Obs Conc %CV_2'!$C$23:$Q$78,3,FALSE)</f>
        <v>0</v>
      </c>
      <c r="J88" s="14" t="str">
        <f>VLOOKUP(D88,'Obs Conc_2'!$C$23:$Q$78,4,FALSE)</f>
        <v>OOR &lt;</v>
      </c>
      <c r="K88" s="15">
        <f>VLOOKUP(D88,'Obs Conc %CV_2'!$C$23:$Q$78,4,FALSE)</f>
        <v>0</v>
      </c>
      <c r="L88" s="14" t="str">
        <f>VLOOKUP(D88,'Obs Conc_2'!$C$23:$Q$78,5,FALSE)</f>
        <v>OOR &lt;</v>
      </c>
      <c r="M88" s="15">
        <f>VLOOKUP(D88,'Obs Conc %CV_2'!$C$23:$Q$78,5,FALSE)</f>
        <v>0</v>
      </c>
      <c r="N88" s="14" t="str">
        <f>VLOOKUP(D88,'Obs Conc_2'!$C$23:$Q$78,6,FALSE)</f>
        <v>OOR &lt;</v>
      </c>
      <c r="O88" s="15">
        <f>VLOOKUP(D88,'Obs Conc %CV_2'!$C$23:$Q$78,6,FALSE)</f>
        <v>0</v>
      </c>
      <c r="P88" s="14" t="str">
        <f>VLOOKUP(D88,'Obs Conc_2'!$C$23:$Q$78,7,FALSE)</f>
        <v>OOR &lt;</v>
      </c>
      <c r="Q88" s="15">
        <f>VLOOKUP(D88,'Obs Conc %CV_2'!$C$23:$Q$78,7,FALSE)</f>
        <v>0</v>
      </c>
      <c r="R88" s="14">
        <f>VLOOKUP(D88,'Obs Conc_2'!$C$23:$Q$78,8,FALSE)</f>
        <v>29.57</v>
      </c>
      <c r="S88" s="15">
        <f>VLOOKUP(D88,'Obs Conc %CV_2'!$C$23:$Q$78,8,FALSE)</f>
        <v>0</v>
      </c>
      <c r="T88" s="14" t="str">
        <f>VLOOKUP(D88,'Obs Conc_2'!$C$23:$Q$78,9,FALSE)</f>
        <v>*0.67</v>
      </c>
      <c r="U88" s="15">
        <f>VLOOKUP(D88,'Obs Conc %CV_2'!$C$23:$Q$78,9,FALSE)</f>
        <v>0</v>
      </c>
      <c r="V88" s="14">
        <f>VLOOKUP(D88,'Obs Conc_2'!$C$23:$Q$78,10,FALSE)</f>
        <v>654.01</v>
      </c>
      <c r="W88" s="15">
        <f>VLOOKUP(D88,'Obs Conc %CV_2'!$C$23:$Q$78,10,FALSE)</f>
        <v>0</v>
      </c>
      <c r="X88" s="14" t="str">
        <f>VLOOKUP(D88,'Obs Conc_2'!$C$23:$Q$78,11,FALSE)</f>
        <v>OOR &lt;</v>
      </c>
      <c r="Y88" s="15">
        <f>VLOOKUP(D88,'Obs Conc %CV_2'!$C$23:$Q$78,11,FALSE)</f>
        <v>0</v>
      </c>
      <c r="Z88" s="14" t="str">
        <f>VLOOKUP(D88,'Obs Conc_2'!$C$23:$Q$78,12,FALSE)</f>
        <v>OOR &lt;</v>
      </c>
      <c r="AA88" s="15">
        <f>VLOOKUP(D88,'Obs Conc %CV_2'!$C$23:$Q$78,12,FALSE)</f>
        <v>0</v>
      </c>
      <c r="AB88" s="14" t="str">
        <f>VLOOKUP(D88,'Obs Conc_2'!$C$23:$Q$78,13,FALSE)</f>
        <v>OOR &lt;</v>
      </c>
      <c r="AC88" s="15">
        <f>VLOOKUP(D88,'Obs Conc %CV_2'!$C$23:$Q$78,13,FALSE)</f>
        <v>0</v>
      </c>
      <c r="AD88" s="14" t="str">
        <f>VLOOKUP(D88,'Obs Conc_2'!$C$23:$Q$78,14,FALSE)</f>
        <v>OOR &lt;</v>
      </c>
      <c r="AE88" s="15">
        <f>VLOOKUP(D88,'Obs Conc %CV_2'!$C$23:$Q$78,14,FALSE)</f>
        <v>0</v>
      </c>
      <c r="AF88" s="14" t="str">
        <f>VLOOKUP(D88,'Obs Conc_2'!$C$23:$Q$78,15,FALSE)</f>
        <v>OOR &lt;</v>
      </c>
      <c r="AG88" s="15">
        <f>VLOOKUP(D88,'Obs Conc %CV_2'!$C$23:$Q$78,15,FALSE)</f>
        <v>0</v>
      </c>
    </row>
    <row r="89" spans="1:33" x14ac:dyDescent="0.2">
      <c r="A89" s="2" t="s">
        <v>3</v>
      </c>
      <c r="B89" s="3" t="s">
        <v>2</v>
      </c>
      <c r="C89" s="2" t="s">
        <v>27</v>
      </c>
      <c r="D89" s="6" t="s">
        <v>207</v>
      </c>
      <c r="E89" s="12" t="s">
        <v>0</v>
      </c>
      <c r="F89" s="14" t="str">
        <f>VLOOKUP(D89,'Obs Conc_2'!$C$23:$Q$78,2,FALSE)</f>
        <v>OOR &lt;</v>
      </c>
      <c r="G89" s="15">
        <f>VLOOKUP(D89,'Obs Conc %CV_2'!$C$23:$Q$78,2,FALSE)</f>
        <v>0</v>
      </c>
      <c r="H89" s="14" t="str">
        <f>VLOOKUP(F89,'Obs Conc_2'!$E$23:$S$78,3,FALSE)</f>
        <v>OOR &lt;</v>
      </c>
      <c r="I89" s="15">
        <f>VLOOKUP(D89,'Obs Conc %CV_2'!$C$23:$Q$78,3,FALSE)</f>
        <v>0</v>
      </c>
      <c r="J89" s="14" t="str">
        <f>VLOOKUP(D89,'Obs Conc_2'!$C$23:$Q$78,4,FALSE)</f>
        <v>OOR &lt;</v>
      </c>
      <c r="K89" s="15">
        <f>VLOOKUP(D89,'Obs Conc %CV_2'!$C$23:$Q$78,4,FALSE)</f>
        <v>0</v>
      </c>
      <c r="L89" s="14" t="str">
        <f>VLOOKUP(D89,'Obs Conc_2'!$C$23:$Q$78,5,FALSE)</f>
        <v>OOR &lt;</v>
      </c>
      <c r="M89" s="15">
        <f>VLOOKUP(D89,'Obs Conc %CV_2'!$C$23:$Q$78,5,FALSE)</f>
        <v>0</v>
      </c>
      <c r="N89" s="14" t="str">
        <f>VLOOKUP(D89,'Obs Conc_2'!$C$23:$Q$78,6,FALSE)</f>
        <v>OOR &lt;</v>
      </c>
      <c r="O89" s="15">
        <f>VLOOKUP(D89,'Obs Conc %CV_2'!$C$23:$Q$78,6,FALSE)</f>
        <v>0</v>
      </c>
      <c r="P89" s="14">
        <f>VLOOKUP(D89,'Obs Conc_2'!$C$23:$Q$78,7,FALSE)</f>
        <v>237.15</v>
      </c>
      <c r="Q89" s="15">
        <f>VLOOKUP(D89,'Obs Conc %CV_2'!$C$23:$Q$78,7,FALSE)</f>
        <v>0</v>
      </c>
      <c r="R89" s="14">
        <f>VLOOKUP(D89,'Obs Conc_2'!$C$23:$Q$78,8,FALSE)</f>
        <v>61.22</v>
      </c>
      <c r="S89" s="15">
        <f>VLOOKUP(D89,'Obs Conc %CV_2'!$C$23:$Q$78,8,FALSE)</f>
        <v>0</v>
      </c>
      <c r="T89" s="14">
        <f>VLOOKUP(D89,'Obs Conc_2'!$C$23:$Q$78,9,FALSE)</f>
        <v>7.77</v>
      </c>
      <c r="U89" s="15">
        <f>VLOOKUP(D89,'Obs Conc %CV_2'!$C$23:$Q$78,9,FALSE)</f>
        <v>0</v>
      </c>
      <c r="V89" s="14">
        <f>VLOOKUP(D89,'Obs Conc_2'!$C$23:$Q$78,10,FALSE)</f>
        <v>393.83</v>
      </c>
      <c r="W89" s="15">
        <f>VLOOKUP(D89,'Obs Conc %CV_2'!$C$23:$Q$78,10,FALSE)</f>
        <v>0</v>
      </c>
      <c r="X89" s="14" t="str">
        <f>VLOOKUP(D89,'Obs Conc_2'!$C$23:$Q$78,11,FALSE)</f>
        <v>OOR &lt;</v>
      </c>
      <c r="Y89" s="15">
        <f>VLOOKUP(D89,'Obs Conc %CV_2'!$C$23:$Q$78,11,FALSE)</f>
        <v>0</v>
      </c>
      <c r="Z89" s="14" t="str">
        <f>VLOOKUP(D89,'Obs Conc_2'!$C$23:$Q$78,12,FALSE)</f>
        <v>OOR &lt;</v>
      </c>
      <c r="AA89" s="15">
        <f>VLOOKUP(D89,'Obs Conc %CV_2'!$C$23:$Q$78,12,FALSE)</f>
        <v>0</v>
      </c>
      <c r="AB89" s="14" t="str">
        <f>VLOOKUP(D89,'Obs Conc_2'!$C$23:$Q$78,13,FALSE)</f>
        <v>OOR &lt;</v>
      </c>
      <c r="AC89" s="15">
        <f>VLOOKUP(D89,'Obs Conc %CV_2'!$C$23:$Q$78,13,FALSE)</f>
        <v>0</v>
      </c>
      <c r="AD89" s="14" t="str">
        <f>VLOOKUP(D89,'Obs Conc_2'!$C$23:$Q$78,14,FALSE)</f>
        <v>OOR &lt;</v>
      </c>
      <c r="AE89" s="15">
        <f>VLOOKUP(D89,'Obs Conc %CV_2'!$C$23:$Q$78,14,FALSE)</f>
        <v>0</v>
      </c>
      <c r="AF89" s="14" t="str">
        <f>VLOOKUP(D89,'Obs Conc_2'!$C$23:$Q$78,15,FALSE)</f>
        <v>OOR &lt;</v>
      </c>
      <c r="AG89" s="15">
        <f>VLOOKUP(D89,'Obs Conc %CV_2'!$C$23:$Q$78,15,FALSE)</f>
        <v>0</v>
      </c>
    </row>
    <row r="90" spans="1:33" x14ac:dyDescent="0.2">
      <c r="A90" s="2" t="s">
        <v>3</v>
      </c>
      <c r="B90" s="3" t="s">
        <v>2</v>
      </c>
      <c r="C90" s="2" t="s">
        <v>26</v>
      </c>
      <c r="D90" s="6" t="s">
        <v>208</v>
      </c>
      <c r="E90" s="12" t="s">
        <v>0</v>
      </c>
      <c r="F90" s="14" t="str">
        <f>VLOOKUP(D90,'Obs Conc_2'!$C$23:$Q$78,2,FALSE)</f>
        <v>OOR &lt;</v>
      </c>
      <c r="G90" s="15">
        <f>VLOOKUP(D90,'Obs Conc %CV_2'!$C$23:$Q$78,2,FALSE)</f>
        <v>0</v>
      </c>
      <c r="H90" s="14" t="str">
        <f>VLOOKUP(F90,'Obs Conc_2'!$E$23:$S$78,3,FALSE)</f>
        <v>OOR &lt;</v>
      </c>
      <c r="I90" s="15">
        <f>VLOOKUP(D90,'Obs Conc %CV_2'!$C$23:$Q$78,3,FALSE)</f>
        <v>0</v>
      </c>
      <c r="J90" s="14" t="str">
        <f>VLOOKUP(D90,'Obs Conc_2'!$C$23:$Q$78,4,FALSE)</f>
        <v>OOR &lt;</v>
      </c>
      <c r="K90" s="15">
        <f>VLOOKUP(D90,'Obs Conc %CV_2'!$C$23:$Q$78,4,FALSE)</f>
        <v>0</v>
      </c>
      <c r="L90" s="14" t="str">
        <f>VLOOKUP(D90,'Obs Conc_2'!$C$23:$Q$78,5,FALSE)</f>
        <v>OOR &lt;</v>
      </c>
      <c r="M90" s="15">
        <f>VLOOKUP(D90,'Obs Conc %CV_2'!$C$23:$Q$78,5,FALSE)</f>
        <v>0</v>
      </c>
      <c r="N90" s="14" t="str">
        <f>VLOOKUP(D90,'Obs Conc_2'!$C$23:$Q$78,6,FALSE)</f>
        <v>OOR &lt;</v>
      </c>
      <c r="O90" s="15">
        <f>VLOOKUP(D90,'Obs Conc %CV_2'!$C$23:$Q$78,6,FALSE)</f>
        <v>0</v>
      </c>
      <c r="P90" s="14">
        <f>VLOOKUP(D90,'Obs Conc_2'!$C$23:$Q$78,7,FALSE)</f>
        <v>48.97</v>
      </c>
      <c r="Q90" s="15">
        <f>VLOOKUP(D90,'Obs Conc %CV_2'!$C$23:$Q$78,7,FALSE)</f>
        <v>0</v>
      </c>
      <c r="R90" s="14">
        <f>VLOOKUP(D90,'Obs Conc_2'!$C$23:$Q$78,8,FALSE)</f>
        <v>8.5399999999999991</v>
      </c>
      <c r="S90" s="15">
        <f>VLOOKUP(D90,'Obs Conc %CV_2'!$C$23:$Q$78,8,FALSE)</f>
        <v>0</v>
      </c>
      <c r="T90" s="14" t="str">
        <f>VLOOKUP(D90,'Obs Conc_2'!$C$23:$Q$78,9,FALSE)</f>
        <v>OOR &lt;</v>
      </c>
      <c r="U90" s="15">
        <f>VLOOKUP(D90,'Obs Conc %CV_2'!$C$23:$Q$78,9,FALSE)</f>
        <v>0</v>
      </c>
      <c r="V90" s="14">
        <f>VLOOKUP(D90,'Obs Conc_2'!$C$23:$Q$78,10,FALSE)</f>
        <v>555.82000000000005</v>
      </c>
      <c r="W90" s="15">
        <f>VLOOKUP(D90,'Obs Conc %CV_2'!$C$23:$Q$78,10,FALSE)</f>
        <v>0</v>
      </c>
      <c r="X90" s="14" t="str">
        <f>VLOOKUP(D90,'Obs Conc_2'!$C$23:$Q$78,11,FALSE)</f>
        <v>OOR &lt;</v>
      </c>
      <c r="Y90" s="15">
        <f>VLOOKUP(D90,'Obs Conc %CV_2'!$C$23:$Q$78,11,FALSE)</f>
        <v>0</v>
      </c>
      <c r="Z90" s="14" t="str">
        <f>VLOOKUP(D90,'Obs Conc_2'!$C$23:$Q$78,12,FALSE)</f>
        <v>OOR &lt;</v>
      </c>
      <c r="AA90" s="15">
        <f>VLOOKUP(D90,'Obs Conc %CV_2'!$C$23:$Q$78,12,FALSE)</f>
        <v>0</v>
      </c>
      <c r="AB90" s="14" t="str">
        <f>VLOOKUP(D90,'Obs Conc_2'!$C$23:$Q$78,13,FALSE)</f>
        <v>OOR &lt;</v>
      </c>
      <c r="AC90" s="15">
        <f>VLOOKUP(D90,'Obs Conc %CV_2'!$C$23:$Q$78,13,FALSE)</f>
        <v>0</v>
      </c>
      <c r="AD90" s="14" t="str">
        <f>VLOOKUP(D90,'Obs Conc_2'!$C$23:$Q$78,14,FALSE)</f>
        <v>OOR &lt;</v>
      </c>
      <c r="AE90" s="15">
        <f>VLOOKUP(D90,'Obs Conc %CV_2'!$C$23:$Q$78,14,FALSE)</f>
        <v>0</v>
      </c>
      <c r="AF90" s="14" t="str">
        <f>VLOOKUP(D90,'Obs Conc_2'!$C$23:$Q$78,15,FALSE)</f>
        <v>OOR &lt;</v>
      </c>
      <c r="AG90" s="15">
        <f>VLOOKUP(D90,'Obs Conc %CV_2'!$C$23:$Q$78,15,FALSE)</f>
        <v>0</v>
      </c>
    </row>
    <row r="91" spans="1:33" x14ac:dyDescent="0.2">
      <c r="A91" s="2" t="s">
        <v>3</v>
      </c>
      <c r="B91" s="3" t="s">
        <v>2</v>
      </c>
      <c r="C91" s="2" t="s">
        <v>25</v>
      </c>
      <c r="D91" s="6" t="s">
        <v>209</v>
      </c>
      <c r="E91" s="12" t="s">
        <v>0</v>
      </c>
      <c r="F91" s="14" t="str">
        <f>VLOOKUP(D91,'Obs Conc_2'!$C$23:$Q$78,2,FALSE)</f>
        <v>OOR &lt;</v>
      </c>
      <c r="G91" s="15">
        <f>VLOOKUP(D91,'Obs Conc %CV_2'!$C$23:$Q$78,2,FALSE)</f>
        <v>0</v>
      </c>
      <c r="H91" s="14" t="str">
        <f>VLOOKUP(F91,'Obs Conc_2'!$E$23:$S$78,3,FALSE)</f>
        <v>OOR &lt;</v>
      </c>
      <c r="I91" s="15">
        <f>VLOOKUP(D91,'Obs Conc %CV_2'!$C$23:$Q$78,3,FALSE)</f>
        <v>0</v>
      </c>
      <c r="J91" s="14" t="str">
        <f>VLOOKUP(D91,'Obs Conc_2'!$C$23:$Q$78,4,FALSE)</f>
        <v>OOR &lt;</v>
      </c>
      <c r="K91" s="15">
        <f>VLOOKUP(D91,'Obs Conc %CV_2'!$C$23:$Q$78,4,FALSE)</f>
        <v>0</v>
      </c>
      <c r="L91" s="14" t="str">
        <f>VLOOKUP(D91,'Obs Conc_2'!$C$23:$Q$78,5,FALSE)</f>
        <v>OOR &lt;</v>
      </c>
      <c r="M91" s="15">
        <f>VLOOKUP(D91,'Obs Conc %CV_2'!$C$23:$Q$78,5,FALSE)</f>
        <v>0</v>
      </c>
      <c r="N91" s="14" t="str">
        <f>VLOOKUP(D91,'Obs Conc_2'!$C$23:$Q$78,6,FALSE)</f>
        <v>OOR &lt;</v>
      </c>
      <c r="O91" s="15">
        <f>VLOOKUP(D91,'Obs Conc %CV_2'!$C$23:$Q$78,6,FALSE)</f>
        <v>0</v>
      </c>
      <c r="P91" s="14">
        <f>VLOOKUP(D91,'Obs Conc_2'!$C$23:$Q$78,7,FALSE)</f>
        <v>46.16</v>
      </c>
      <c r="Q91" s="15">
        <f>VLOOKUP(D91,'Obs Conc %CV_2'!$C$23:$Q$78,7,FALSE)</f>
        <v>0</v>
      </c>
      <c r="R91" s="14">
        <f>VLOOKUP(D91,'Obs Conc_2'!$C$23:$Q$78,8,FALSE)</f>
        <v>10.67</v>
      </c>
      <c r="S91" s="15">
        <f>VLOOKUP(D91,'Obs Conc %CV_2'!$C$23:$Q$78,8,FALSE)</f>
        <v>0</v>
      </c>
      <c r="T91" s="14">
        <f>VLOOKUP(D91,'Obs Conc_2'!$C$23:$Q$78,9,FALSE)</f>
        <v>5.44</v>
      </c>
      <c r="U91" s="15">
        <f>VLOOKUP(D91,'Obs Conc %CV_2'!$C$23:$Q$78,9,FALSE)</f>
        <v>0</v>
      </c>
      <c r="V91" s="14">
        <f>VLOOKUP(D91,'Obs Conc_2'!$C$23:$Q$78,10,FALSE)</f>
        <v>550.17999999999995</v>
      </c>
      <c r="W91" s="15">
        <f>VLOOKUP(D91,'Obs Conc %CV_2'!$C$23:$Q$78,10,FALSE)</f>
        <v>0</v>
      </c>
      <c r="X91" s="14" t="str">
        <f>VLOOKUP(D91,'Obs Conc_2'!$C$23:$Q$78,11,FALSE)</f>
        <v>OOR &lt;</v>
      </c>
      <c r="Y91" s="15">
        <f>VLOOKUP(D91,'Obs Conc %CV_2'!$C$23:$Q$78,11,FALSE)</f>
        <v>0</v>
      </c>
      <c r="Z91" s="14" t="str">
        <f>VLOOKUP(D91,'Obs Conc_2'!$C$23:$Q$78,12,FALSE)</f>
        <v>OOR &lt;</v>
      </c>
      <c r="AA91" s="15">
        <f>VLOOKUP(D91,'Obs Conc %CV_2'!$C$23:$Q$78,12,FALSE)</f>
        <v>0</v>
      </c>
      <c r="AB91" s="14" t="str">
        <f>VLOOKUP(D91,'Obs Conc_2'!$C$23:$Q$78,13,FALSE)</f>
        <v>OOR &lt;</v>
      </c>
      <c r="AC91" s="15">
        <f>VLOOKUP(D91,'Obs Conc %CV_2'!$C$23:$Q$78,13,FALSE)</f>
        <v>0</v>
      </c>
      <c r="AD91" s="14" t="str">
        <f>VLOOKUP(D91,'Obs Conc_2'!$C$23:$Q$78,14,FALSE)</f>
        <v>OOR &lt;</v>
      </c>
      <c r="AE91" s="15">
        <f>VLOOKUP(D91,'Obs Conc %CV_2'!$C$23:$Q$78,14,FALSE)</f>
        <v>0</v>
      </c>
      <c r="AF91" s="14" t="str">
        <f>VLOOKUP(D91,'Obs Conc_2'!$C$23:$Q$78,15,FALSE)</f>
        <v>OOR &lt;</v>
      </c>
      <c r="AG91" s="15">
        <f>VLOOKUP(D91,'Obs Conc %CV_2'!$C$23:$Q$78,15,FALSE)</f>
        <v>0</v>
      </c>
    </row>
    <row r="92" spans="1:33" x14ac:dyDescent="0.2">
      <c r="A92" s="2" t="s">
        <v>3</v>
      </c>
      <c r="B92" s="3" t="s">
        <v>2</v>
      </c>
      <c r="C92" s="2" t="s">
        <v>24</v>
      </c>
      <c r="D92" s="6" t="s">
        <v>210</v>
      </c>
      <c r="E92" s="12" t="s">
        <v>0</v>
      </c>
      <c r="F92" s="14" t="str">
        <f>VLOOKUP(D92,'Obs Conc_2'!$C$23:$Q$78,2,FALSE)</f>
        <v>OOR &lt;</v>
      </c>
      <c r="G92" s="15">
        <f>VLOOKUP(D92,'Obs Conc %CV_2'!$C$23:$Q$78,2,FALSE)</f>
        <v>0</v>
      </c>
      <c r="H92" s="14" t="str">
        <f>VLOOKUP(F92,'Obs Conc_2'!$E$23:$S$78,3,FALSE)</f>
        <v>OOR &lt;</v>
      </c>
      <c r="I92" s="15">
        <f>VLOOKUP(D92,'Obs Conc %CV_2'!$C$23:$Q$78,3,FALSE)</f>
        <v>0</v>
      </c>
      <c r="J92" s="14" t="str">
        <f>VLOOKUP(D92,'Obs Conc_2'!$C$23:$Q$78,4,FALSE)</f>
        <v>OOR &lt;</v>
      </c>
      <c r="K92" s="15">
        <f>VLOOKUP(D92,'Obs Conc %CV_2'!$C$23:$Q$78,4,FALSE)</f>
        <v>0</v>
      </c>
      <c r="L92" s="14" t="str">
        <f>VLOOKUP(D92,'Obs Conc_2'!$C$23:$Q$78,5,FALSE)</f>
        <v>OOR &lt;</v>
      </c>
      <c r="M92" s="15">
        <f>VLOOKUP(D92,'Obs Conc %CV_2'!$C$23:$Q$78,5,FALSE)</f>
        <v>0</v>
      </c>
      <c r="N92" s="14" t="str">
        <f>VLOOKUP(D92,'Obs Conc_2'!$C$23:$Q$78,6,FALSE)</f>
        <v>OOR &lt;</v>
      </c>
      <c r="O92" s="15">
        <f>VLOOKUP(D92,'Obs Conc %CV_2'!$C$23:$Q$78,6,FALSE)</f>
        <v>0</v>
      </c>
      <c r="P92" s="14">
        <f>VLOOKUP(D92,'Obs Conc_2'!$C$23:$Q$78,7,FALSE)</f>
        <v>141.44999999999999</v>
      </c>
      <c r="Q92" s="15">
        <f>VLOOKUP(D92,'Obs Conc %CV_2'!$C$23:$Q$78,7,FALSE)</f>
        <v>0</v>
      </c>
      <c r="R92" s="14">
        <f>VLOOKUP(D92,'Obs Conc_2'!$C$23:$Q$78,8,FALSE)</f>
        <v>4.04</v>
      </c>
      <c r="S92" s="15">
        <f>VLOOKUP(D92,'Obs Conc %CV_2'!$C$23:$Q$78,8,FALSE)</f>
        <v>0</v>
      </c>
      <c r="T92" s="14">
        <f>VLOOKUP(D92,'Obs Conc_2'!$C$23:$Q$78,9,FALSE)</f>
        <v>2.15</v>
      </c>
      <c r="U92" s="15">
        <f>VLOOKUP(D92,'Obs Conc %CV_2'!$C$23:$Q$78,9,FALSE)</f>
        <v>0</v>
      </c>
      <c r="V92" s="14">
        <f>VLOOKUP(D92,'Obs Conc_2'!$C$23:$Q$78,10,FALSE)</f>
        <v>246.56</v>
      </c>
      <c r="W92" s="15">
        <f>VLOOKUP(D92,'Obs Conc %CV_2'!$C$23:$Q$78,10,FALSE)</f>
        <v>0</v>
      </c>
      <c r="X92" s="14" t="str">
        <f>VLOOKUP(D92,'Obs Conc_2'!$C$23:$Q$78,11,FALSE)</f>
        <v>OOR &lt;</v>
      </c>
      <c r="Y92" s="15">
        <f>VLOOKUP(D92,'Obs Conc %CV_2'!$C$23:$Q$78,11,FALSE)</f>
        <v>0</v>
      </c>
      <c r="Z92" s="14" t="str">
        <f>VLOOKUP(D92,'Obs Conc_2'!$C$23:$Q$78,12,FALSE)</f>
        <v>OOR &lt;</v>
      </c>
      <c r="AA92" s="15">
        <f>VLOOKUP(D92,'Obs Conc %CV_2'!$C$23:$Q$78,12,FALSE)</f>
        <v>0</v>
      </c>
      <c r="AB92" s="14" t="str">
        <f>VLOOKUP(D92,'Obs Conc_2'!$C$23:$Q$78,13,FALSE)</f>
        <v>OOR &lt;</v>
      </c>
      <c r="AC92" s="15">
        <f>VLOOKUP(D92,'Obs Conc %CV_2'!$C$23:$Q$78,13,FALSE)</f>
        <v>0</v>
      </c>
      <c r="AD92" s="14" t="str">
        <f>VLOOKUP(D92,'Obs Conc_2'!$C$23:$Q$78,14,FALSE)</f>
        <v>OOR &lt;</v>
      </c>
      <c r="AE92" s="15">
        <f>VLOOKUP(D92,'Obs Conc %CV_2'!$C$23:$Q$78,14,FALSE)</f>
        <v>0</v>
      </c>
      <c r="AF92" s="14" t="str">
        <f>VLOOKUP(D92,'Obs Conc_2'!$C$23:$Q$78,15,FALSE)</f>
        <v>OOR &lt;</v>
      </c>
      <c r="AG92" s="15">
        <f>VLOOKUP(D92,'Obs Conc %CV_2'!$C$23:$Q$78,15,FALSE)</f>
        <v>0</v>
      </c>
    </row>
    <row r="93" spans="1:33" x14ac:dyDescent="0.2">
      <c r="A93" s="2" t="s">
        <v>3</v>
      </c>
      <c r="B93" s="3" t="s">
        <v>2</v>
      </c>
      <c r="C93" s="2" t="s">
        <v>23</v>
      </c>
      <c r="D93" s="6" t="s">
        <v>211</v>
      </c>
      <c r="E93" s="12" t="s">
        <v>0</v>
      </c>
      <c r="F93" s="14" t="str">
        <f>VLOOKUP(D93,'Obs Conc_2'!$C$23:$Q$78,2,FALSE)</f>
        <v>OOR &lt;</v>
      </c>
      <c r="G93" s="15">
        <f>VLOOKUP(D93,'Obs Conc %CV_2'!$C$23:$Q$78,2,FALSE)</f>
        <v>0</v>
      </c>
      <c r="H93" s="14" t="str">
        <f>VLOOKUP(F93,'Obs Conc_2'!$E$23:$S$78,3,FALSE)</f>
        <v>OOR &lt;</v>
      </c>
      <c r="I93" s="15">
        <f>VLOOKUP(D93,'Obs Conc %CV_2'!$C$23:$Q$78,3,FALSE)</f>
        <v>0</v>
      </c>
      <c r="J93" s="14" t="str">
        <f>VLOOKUP(D93,'Obs Conc_2'!$C$23:$Q$78,4,FALSE)</f>
        <v>OOR &lt;</v>
      </c>
      <c r="K93" s="15">
        <f>VLOOKUP(D93,'Obs Conc %CV_2'!$C$23:$Q$78,4,FALSE)</f>
        <v>0</v>
      </c>
      <c r="L93" s="14" t="str">
        <f>VLOOKUP(D93,'Obs Conc_2'!$C$23:$Q$78,5,FALSE)</f>
        <v>OOR &lt;</v>
      </c>
      <c r="M93" s="15">
        <f>VLOOKUP(D93,'Obs Conc %CV_2'!$C$23:$Q$78,5,FALSE)</f>
        <v>0</v>
      </c>
      <c r="N93" s="14" t="str">
        <f>VLOOKUP(D93,'Obs Conc_2'!$C$23:$Q$78,6,FALSE)</f>
        <v>OOR &lt;</v>
      </c>
      <c r="O93" s="15">
        <f>VLOOKUP(D93,'Obs Conc %CV_2'!$C$23:$Q$78,6,FALSE)</f>
        <v>0</v>
      </c>
      <c r="P93" s="14">
        <f>VLOOKUP(D93,'Obs Conc_2'!$C$23:$Q$78,7,FALSE)</f>
        <v>24.86</v>
      </c>
      <c r="Q93" s="15">
        <f>VLOOKUP(D93,'Obs Conc %CV_2'!$C$23:$Q$78,7,FALSE)</f>
        <v>0</v>
      </c>
      <c r="R93" s="14">
        <f>VLOOKUP(D93,'Obs Conc_2'!$C$23:$Q$78,8,FALSE)</f>
        <v>2.5299999999999998</v>
      </c>
      <c r="S93" s="15">
        <f>VLOOKUP(D93,'Obs Conc %CV_2'!$C$23:$Q$78,8,FALSE)</f>
        <v>0</v>
      </c>
      <c r="T93" s="14" t="str">
        <f>VLOOKUP(D93,'Obs Conc_2'!$C$23:$Q$78,9,FALSE)</f>
        <v>OOR &lt;</v>
      </c>
      <c r="U93" s="15">
        <f>VLOOKUP(D93,'Obs Conc %CV_2'!$C$23:$Q$78,9,FALSE)</f>
        <v>0</v>
      </c>
      <c r="V93" s="14">
        <f>VLOOKUP(D93,'Obs Conc_2'!$C$23:$Q$78,10,FALSE)</f>
        <v>448.08</v>
      </c>
      <c r="W93" s="15">
        <f>VLOOKUP(D93,'Obs Conc %CV_2'!$C$23:$Q$78,10,FALSE)</f>
        <v>0</v>
      </c>
      <c r="X93" s="14" t="str">
        <f>VLOOKUP(D93,'Obs Conc_2'!$C$23:$Q$78,11,FALSE)</f>
        <v>OOR &lt;</v>
      </c>
      <c r="Y93" s="15">
        <f>VLOOKUP(D93,'Obs Conc %CV_2'!$C$23:$Q$78,11,FALSE)</f>
        <v>0</v>
      </c>
      <c r="Z93" s="14" t="str">
        <f>VLOOKUP(D93,'Obs Conc_2'!$C$23:$Q$78,12,FALSE)</f>
        <v>OOR &lt;</v>
      </c>
      <c r="AA93" s="15">
        <f>VLOOKUP(D93,'Obs Conc %CV_2'!$C$23:$Q$78,12,FALSE)</f>
        <v>0</v>
      </c>
      <c r="AB93" s="14" t="str">
        <f>VLOOKUP(D93,'Obs Conc_2'!$C$23:$Q$78,13,FALSE)</f>
        <v>OOR &lt;</v>
      </c>
      <c r="AC93" s="15">
        <f>VLOOKUP(D93,'Obs Conc %CV_2'!$C$23:$Q$78,13,FALSE)</f>
        <v>0</v>
      </c>
      <c r="AD93" s="14" t="str">
        <f>VLOOKUP(D93,'Obs Conc_2'!$C$23:$Q$78,14,FALSE)</f>
        <v>OOR &lt;</v>
      </c>
      <c r="AE93" s="15">
        <f>VLOOKUP(D93,'Obs Conc %CV_2'!$C$23:$Q$78,14,FALSE)</f>
        <v>0</v>
      </c>
      <c r="AF93" s="14" t="str">
        <f>VLOOKUP(D93,'Obs Conc_2'!$C$23:$Q$78,15,FALSE)</f>
        <v>OOR &lt;</v>
      </c>
      <c r="AG93" s="15">
        <f>VLOOKUP(D93,'Obs Conc %CV_2'!$C$23:$Q$78,15,FALSE)</f>
        <v>0</v>
      </c>
    </row>
    <row r="94" spans="1:33" x14ac:dyDescent="0.2">
      <c r="A94" s="2" t="s">
        <v>3</v>
      </c>
      <c r="B94" s="3" t="s">
        <v>2</v>
      </c>
      <c r="C94" s="2" t="s">
        <v>22</v>
      </c>
      <c r="D94" s="6" t="s">
        <v>212</v>
      </c>
      <c r="E94" s="12" t="s">
        <v>0</v>
      </c>
      <c r="F94" s="14" t="str">
        <f>VLOOKUP(D94,'Obs Conc_2'!$C$23:$Q$78,2,FALSE)</f>
        <v>OOR &lt;</v>
      </c>
      <c r="G94" s="15">
        <f>VLOOKUP(D94,'Obs Conc %CV_2'!$C$23:$Q$78,2,FALSE)</f>
        <v>0</v>
      </c>
      <c r="H94" s="14" t="str">
        <f>VLOOKUP(F94,'Obs Conc_2'!$E$23:$S$78,3,FALSE)</f>
        <v>OOR &lt;</v>
      </c>
      <c r="I94" s="15">
        <f>VLOOKUP(D94,'Obs Conc %CV_2'!$C$23:$Q$78,3,FALSE)</f>
        <v>0</v>
      </c>
      <c r="J94" s="14" t="str">
        <f>VLOOKUP(D94,'Obs Conc_2'!$C$23:$Q$78,4,FALSE)</f>
        <v>OOR &lt;</v>
      </c>
      <c r="K94" s="15">
        <f>VLOOKUP(D94,'Obs Conc %CV_2'!$C$23:$Q$78,4,FALSE)</f>
        <v>0</v>
      </c>
      <c r="L94" s="14" t="str">
        <f>VLOOKUP(D94,'Obs Conc_2'!$C$23:$Q$78,5,FALSE)</f>
        <v>OOR &lt;</v>
      </c>
      <c r="M94" s="15">
        <f>VLOOKUP(D94,'Obs Conc %CV_2'!$C$23:$Q$78,5,FALSE)</f>
        <v>0</v>
      </c>
      <c r="N94" s="14" t="str">
        <f>VLOOKUP(D94,'Obs Conc_2'!$C$23:$Q$78,6,FALSE)</f>
        <v>OOR &lt;</v>
      </c>
      <c r="O94" s="15">
        <f>VLOOKUP(D94,'Obs Conc %CV_2'!$C$23:$Q$78,6,FALSE)</f>
        <v>0</v>
      </c>
      <c r="P94" s="14" t="str">
        <f>VLOOKUP(D94,'Obs Conc_2'!$C$23:$Q$78,7,FALSE)</f>
        <v>*6.53</v>
      </c>
      <c r="Q94" s="15">
        <f>VLOOKUP(D94,'Obs Conc %CV_2'!$C$23:$Q$78,7,FALSE)</f>
        <v>0</v>
      </c>
      <c r="R94" s="14">
        <f>VLOOKUP(D94,'Obs Conc_2'!$C$23:$Q$78,8,FALSE)</f>
        <v>4.8499999999999996</v>
      </c>
      <c r="S94" s="15">
        <f>VLOOKUP(D94,'Obs Conc %CV_2'!$C$23:$Q$78,8,FALSE)</f>
        <v>0</v>
      </c>
      <c r="T94" s="14" t="str">
        <f>VLOOKUP(D94,'Obs Conc_2'!$C$23:$Q$78,9,FALSE)</f>
        <v>OOR &lt;</v>
      </c>
      <c r="U94" s="15">
        <f>VLOOKUP(D94,'Obs Conc %CV_2'!$C$23:$Q$78,9,FALSE)</f>
        <v>0</v>
      </c>
      <c r="V94" s="14">
        <f>VLOOKUP(D94,'Obs Conc_2'!$C$23:$Q$78,10,FALSE)</f>
        <v>380.71</v>
      </c>
      <c r="W94" s="15">
        <f>VLOOKUP(D94,'Obs Conc %CV_2'!$C$23:$Q$78,10,FALSE)</f>
        <v>0</v>
      </c>
      <c r="X94" s="14" t="str">
        <f>VLOOKUP(D94,'Obs Conc_2'!$C$23:$Q$78,11,FALSE)</f>
        <v>OOR &lt;</v>
      </c>
      <c r="Y94" s="15">
        <f>VLOOKUP(D94,'Obs Conc %CV_2'!$C$23:$Q$78,11,FALSE)</f>
        <v>0</v>
      </c>
      <c r="Z94" s="14" t="str">
        <f>VLOOKUP(D94,'Obs Conc_2'!$C$23:$Q$78,12,FALSE)</f>
        <v>OOR &lt;</v>
      </c>
      <c r="AA94" s="15">
        <f>VLOOKUP(D94,'Obs Conc %CV_2'!$C$23:$Q$78,12,FALSE)</f>
        <v>0</v>
      </c>
      <c r="AB94" s="14" t="str">
        <f>VLOOKUP(D94,'Obs Conc_2'!$C$23:$Q$78,13,FALSE)</f>
        <v>OOR &lt;</v>
      </c>
      <c r="AC94" s="15">
        <f>VLOOKUP(D94,'Obs Conc %CV_2'!$C$23:$Q$78,13,FALSE)</f>
        <v>0</v>
      </c>
      <c r="AD94" s="14" t="str">
        <f>VLOOKUP(D94,'Obs Conc_2'!$C$23:$Q$78,14,FALSE)</f>
        <v>OOR &lt;</v>
      </c>
      <c r="AE94" s="15">
        <f>VLOOKUP(D94,'Obs Conc %CV_2'!$C$23:$Q$78,14,FALSE)</f>
        <v>0</v>
      </c>
      <c r="AF94" s="14" t="str">
        <f>VLOOKUP(D94,'Obs Conc_2'!$C$23:$Q$78,15,FALSE)</f>
        <v>OOR &lt;</v>
      </c>
      <c r="AG94" s="15">
        <f>VLOOKUP(D94,'Obs Conc %CV_2'!$C$23:$Q$78,15,FALSE)</f>
        <v>0</v>
      </c>
    </row>
    <row r="95" spans="1:33" x14ac:dyDescent="0.2">
      <c r="A95" s="2" t="s">
        <v>3</v>
      </c>
      <c r="B95" s="3" t="s">
        <v>2</v>
      </c>
      <c r="C95" s="2" t="s">
        <v>21</v>
      </c>
      <c r="D95" s="6" t="s">
        <v>213</v>
      </c>
      <c r="E95" s="12" t="s">
        <v>0</v>
      </c>
      <c r="F95" s="14" t="str">
        <f>VLOOKUP(D95,'Obs Conc_2'!$C$23:$Q$78,2,FALSE)</f>
        <v>OOR &lt;</v>
      </c>
      <c r="G95" s="15">
        <f>VLOOKUP(D95,'Obs Conc %CV_2'!$C$23:$Q$78,2,FALSE)</f>
        <v>0</v>
      </c>
      <c r="H95" s="14" t="str">
        <f>VLOOKUP(F95,'Obs Conc_2'!$E$23:$S$78,3,FALSE)</f>
        <v>OOR &lt;</v>
      </c>
      <c r="I95" s="15">
        <f>VLOOKUP(D95,'Obs Conc %CV_2'!$C$23:$Q$78,3,FALSE)</f>
        <v>0</v>
      </c>
      <c r="J95" s="14" t="str">
        <f>VLOOKUP(D95,'Obs Conc_2'!$C$23:$Q$78,4,FALSE)</f>
        <v>OOR &lt;</v>
      </c>
      <c r="K95" s="15">
        <f>VLOOKUP(D95,'Obs Conc %CV_2'!$C$23:$Q$78,4,FALSE)</f>
        <v>0</v>
      </c>
      <c r="L95" s="14" t="str">
        <f>VLOOKUP(D95,'Obs Conc_2'!$C$23:$Q$78,5,FALSE)</f>
        <v>OOR &lt;</v>
      </c>
      <c r="M95" s="15">
        <f>VLOOKUP(D95,'Obs Conc %CV_2'!$C$23:$Q$78,5,FALSE)</f>
        <v>0</v>
      </c>
      <c r="N95" s="14" t="str">
        <f>VLOOKUP(D95,'Obs Conc_2'!$C$23:$Q$78,6,FALSE)</f>
        <v>OOR &lt;</v>
      </c>
      <c r="O95" s="15">
        <f>VLOOKUP(D95,'Obs Conc %CV_2'!$C$23:$Q$78,6,FALSE)</f>
        <v>0</v>
      </c>
      <c r="P95" s="14" t="str">
        <f>VLOOKUP(D95,'Obs Conc_2'!$C$23:$Q$78,7,FALSE)</f>
        <v>OOR &lt;</v>
      </c>
      <c r="Q95" s="15">
        <f>VLOOKUP(D95,'Obs Conc %CV_2'!$C$23:$Q$78,7,FALSE)</f>
        <v>0</v>
      </c>
      <c r="R95" s="14">
        <f>VLOOKUP(D95,'Obs Conc_2'!$C$23:$Q$78,8,FALSE)</f>
        <v>4.51</v>
      </c>
      <c r="S95" s="15">
        <f>VLOOKUP(D95,'Obs Conc %CV_2'!$C$23:$Q$78,8,FALSE)</f>
        <v>0</v>
      </c>
      <c r="T95" s="14" t="str">
        <f>VLOOKUP(D95,'Obs Conc_2'!$C$23:$Q$78,9,FALSE)</f>
        <v>OOR &lt;</v>
      </c>
      <c r="U95" s="15">
        <f>VLOOKUP(D95,'Obs Conc %CV_2'!$C$23:$Q$78,9,FALSE)</f>
        <v>0</v>
      </c>
      <c r="V95" s="14">
        <f>VLOOKUP(D95,'Obs Conc_2'!$C$23:$Q$78,10,FALSE)</f>
        <v>308.33</v>
      </c>
      <c r="W95" s="15">
        <f>VLOOKUP(D95,'Obs Conc %CV_2'!$C$23:$Q$78,10,FALSE)</f>
        <v>0</v>
      </c>
      <c r="X95" s="14" t="str">
        <f>VLOOKUP(D95,'Obs Conc_2'!$C$23:$Q$78,11,FALSE)</f>
        <v>OOR &lt;</v>
      </c>
      <c r="Y95" s="15">
        <f>VLOOKUP(D95,'Obs Conc %CV_2'!$C$23:$Q$78,11,FALSE)</f>
        <v>0</v>
      </c>
      <c r="Z95" s="14" t="str">
        <f>VLOOKUP(D95,'Obs Conc_2'!$C$23:$Q$78,12,FALSE)</f>
        <v>OOR &lt;</v>
      </c>
      <c r="AA95" s="15">
        <f>VLOOKUP(D95,'Obs Conc %CV_2'!$C$23:$Q$78,12,FALSE)</f>
        <v>0</v>
      </c>
      <c r="AB95" s="14" t="str">
        <f>VLOOKUP(D95,'Obs Conc_2'!$C$23:$Q$78,13,FALSE)</f>
        <v>OOR &lt;</v>
      </c>
      <c r="AC95" s="15">
        <f>VLOOKUP(D95,'Obs Conc %CV_2'!$C$23:$Q$78,13,FALSE)</f>
        <v>0</v>
      </c>
      <c r="AD95" s="14" t="str">
        <f>VLOOKUP(D95,'Obs Conc_2'!$C$23:$Q$78,14,FALSE)</f>
        <v>OOR &lt;</v>
      </c>
      <c r="AE95" s="15">
        <f>VLOOKUP(D95,'Obs Conc %CV_2'!$C$23:$Q$78,14,FALSE)</f>
        <v>0</v>
      </c>
      <c r="AF95" s="14" t="str">
        <f>VLOOKUP(D95,'Obs Conc_2'!$C$23:$Q$78,15,FALSE)</f>
        <v>OOR &lt;</v>
      </c>
      <c r="AG95" s="15">
        <f>VLOOKUP(D95,'Obs Conc %CV_2'!$C$23:$Q$78,15,FALSE)</f>
        <v>0</v>
      </c>
    </row>
    <row r="96" spans="1:33" x14ac:dyDescent="0.2">
      <c r="A96" s="2" t="s">
        <v>3</v>
      </c>
      <c r="B96" s="3" t="s">
        <v>2</v>
      </c>
      <c r="C96" s="2" t="s">
        <v>20</v>
      </c>
      <c r="D96" s="6" t="s">
        <v>214</v>
      </c>
      <c r="E96" s="12" t="s">
        <v>0</v>
      </c>
      <c r="F96" s="14" t="str">
        <f>VLOOKUP(D96,'Obs Conc_2'!$C$23:$Q$78,2,FALSE)</f>
        <v>OOR &lt;</v>
      </c>
      <c r="G96" s="15">
        <f>VLOOKUP(D96,'Obs Conc %CV_2'!$C$23:$Q$78,2,FALSE)</f>
        <v>0</v>
      </c>
      <c r="H96" s="14" t="str">
        <f>VLOOKUP(F96,'Obs Conc_2'!$E$23:$S$78,3,FALSE)</f>
        <v>OOR &lt;</v>
      </c>
      <c r="I96" s="15">
        <f>VLOOKUP(D96,'Obs Conc %CV_2'!$C$23:$Q$78,3,FALSE)</f>
        <v>0</v>
      </c>
      <c r="J96" s="14" t="str">
        <f>VLOOKUP(D96,'Obs Conc_2'!$C$23:$Q$78,4,FALSE)</f>
        <v>OOR &lt;</v>
      </c>
      <c r="K96" s="15">
        <f>VLOOKUP(D96,'Obs Conc %CV_2'!$C$23:$Q$78,4,FALSE)</f>
        <v>0</v>
      </c>
      <c r="L96" s="14" t="str">
        <f>VLOOKUP(D96,'Obs Conc_2'!$C$23:$Q$78,5,FALSE)</f>
        <v>OOR &lt;</v>
      </c>
      <c r="M96" s="15">
        <f>VLOOKUP(D96,'Obs Conc %CV_2'!$C$23:$Q$78,5,FALSE)</f>
        <v>0</v>
      </c>
      <c r="N96" s="14" t="str">
        <f>VLOOKUP(D96,'Obs Conc_2'!$C$23:$Q$78,6,FALSE)</f>
        <v>OOR &lt;</v>
      </c>
      <c r="O96" s="15">
        <f>VLOOKUP(D96,'Obs Conc %CV_2'!$C$23:$Q$78,6,FALSE)</f>
        <v>0</v>
      </c>
      <c r="P96" s="14">
        <f>VLOOKUP(D96,'Obs Conc_2'!$C$23:$Q$78,7,FALSE)</f>
        <v>249.95</v>
      </c>
      <c r="Q96" s="15">
        <f>VLOOKUP(D96,'Obs Conc %CV_2'!$C$23:$Q$78,7,FALSE)</f>
        <v>0</v>
      </c>
      <c r="R96" s="14">
        <f>VLOOKUP(D96,'Obs Conc_2'!$C$23:$Q$78,8,FALSE)</f>
        <v>28.66</v>
      </c>
      <c r="S96" s="15">
        <f>VLOOKUP(D96,'Obs Conc %CV_2'!$C$23:$Q$78,8,FALSE)</f>
        <v>0</v>
      </c>
      <c r="T96" s="14">
        <f>VLOOKUP(D96,'Obs Conc_2'!$C$23:$Q$78,9,FALSE)</f>
        <v>4.08</v>
      </c>
      <c r="U96" s="15">
        <f>VLOOKUP(D96,'Obs Conc %CV_2'!$C$23:$Q$78,9,FALSE)</f>
        <v>0</v>
      </c>
      <c r="V96" s="14">
        <f>VLOOKUP(D96,'Obs Conc_2'!$C$23:$Q$78,10,FALSE)</f>
        <v>384.46</v>
      </c>
      <c r="W96" s="15">
        <f>VLOOKUP(D96,'Obs Conc %CV_2'!$C$23:$Q$78,10,FALSE)</f>
        <v>0</v>
      </c>
      <c r="X96" s="14" t="str">
        <f>VLOOKUP(D96,'Obs Conc_2'!$C$23:$Q$78,11,FALSE)</f>
        <v>OOR &lt;</v>
      </c>
      <c r="Y96" s="15">
        <f>VLOOKUP(D96,'Obs Conc %CV_2'!$C$23:$Q$78,11,FALSE)</f>
        <v>0</v>
      </c>
      <c r="Z96" s="14" t="str">
        <f>VLOOKUP(D96,'Obs Conc_2'!$C$23:$Q$78,12,FALSE)</f>
        <v>OOR &lt;</v>
      </c>
      <c r="AA96" s="15">
        <f>VLOOKUP(D96,'Obs Conc %CV_2'!$C$23:$Q$78,12,FALSE)</f>
        <v>0</v>
      </c>
      <c r="AB96" s="14" t="str">
        <f>VLOOKUP(D96,'Obs Conc_2'!$C$23:$Q$78,13,FALSE)</f>
        <v>OOR &lt;</v>
      </c>
      <c r="AC96" s="15">
        <f>VLOOKUP(D96,'Obs Conc %CV_2'!$C$23:$Q$78,13,FALSE)</f>
        <v>0</v>
      </c>
      <c r="AD96" s="14" t="str">
        <f>VLOOKUP(D96,'Obs Conc_2'!$C$23:$Q$78,14,FALSE)</f>
        <v>OOR &lt;</v>
      </c>
      <c r="AE96" s="15">
        <f>VLOOKUP(D96,'Obs Conc %CV_2'!$C$23:$Q$78,14,FALSE)</f>
        <v>0</v>
      </c>
      <c r="AF96" s="14" t="str">
        <f>VLOOKUP(D96,'Obs Conc_2'!$C$23:$Q$78,15,FALSE)</f>
        <v>OOR &lt;</v>
      </c>
      <c r="AG96" s="15">
        <f>VLOOKUP(D96,'Obs Conc %CV_2'!$C$23:$Q$78,15,FALSE)</f>
        <v>0</v>
      </c>
    </row>
    <row r="97" spans="1:33" x14ac:dyDescent="0.2">
      <c r="A97" s="2" t="s">
        <v>3</v>
      </c>
      <c r="B97" s="3" t="s">
        <v>2</v>
      </c>
      <c r="C97" s="2" t="s">
        <v>19</v>
      </c>
      <c r="D97" s="6" t="s">
        <v>215</v>
      </c>
      <c r="E97" s="12" t="s">
        <v>0</v>
      </c>
      <c r="F97" s="14" t="str">
        <f>VLOOKUP(D97,'Obs Conc_2'!$C$23:$Q$78,2,FALSE)</f>
        <v>OOR &lt;</v>
      </c>
      <c r="G97" s="15">
        <f>VLOOKUP(D97,'Obs Conc %CV_2'!$C$23:$Q$78,2,FALSE)</f>
        <v>0</v>
      </c>
      <c r="H97" s="14" t="str">
        <f>VLOOKUP(F97,'Obs Conc_2'!$E$23:$S$78,3,FALSE)</f>
        <v>OOR &lt;</v>
      </c>
      <c r="I97" s="15">
        <f>VLOOKUP(D97,'Obs Conc %CV_2'!$C$23:$Q$78,3,FALSE)</f>
        <v>0</v>
      </c>
      <c r="J97" s="14" t="str">
        <f>VLOOKUP(D97,'Obs Conc_2'!$C$23:$Q$78,4,FALSE)</f>
        <v>OOR &lt;</v>
      </c>
      <c r="K97" s="15">
        <f>VLOOKUP(D97,'Obs Conc %CV_2'!$C$23:$Q$78,4,FALSE)</f>
        <v>0</v>
      </c>
      <c r="L97" s="14" t="str">
        <f>VLOOKUP(D97,'Obs Conc_2'!$C$23:$Q$78,5,FALSE)</f>
        <v>OOR &lt;</v>
      </c>
      <c r="M97" s="15">
        <f>VLOOKUP(D97,'Obs Conc %CV_2'!$C$23:$Q$78,5,FALSE)</f>
        <v>0</v>
      </c>
      <c r="N97" s="14">
        <f>VLOOKUP(D97,'Obs Conc_2'!$C$23:$Q$78,6,FALSE)</f>
        <v>17.149999999999999</v>
      </c>
      <c r="O97" s="15">
        <f>VLOOKUP(D97,'Obs Conc %CV_2'!$C$23:$Q$78,6,FALSE)</f>
        <v>0</v>
      </c>
      <c r="P97" s="14">
        <f>VLOOKUP(D97,'Obs Conc_2'!$C$23:$Q$78,7,FALSE)</f>
        <v>1110.18</v>
      </c>
      <c r="Q97" s="15">
        <f>VLOOKUP(D97,'Obs Conc %CV_2'!$C$23:$Q$78,7,FALSE)</f>
        <v>0</v>
      </c>
      <c r="R97" s="14">
        <f>VLOOKUP(D97,'Obs Conc_2'!$C$23:$Q$78,8,FALSE)</f>
        <v>75.38</v>
      </c>
      <c r="S97" s="15">
        <f>VLOOKUP(D97,'Obs Conc %CV_2'!$C$23:$Q$78,8,FALSE)</f>
        <v>0</v>
      </c>
      <c r="T97" s="14" t="str">
        <f>VLOOKUP(D97,'Obs Conc_2'!$C$23:$Q$78,9,FALSE)</f>
        <v>OOR &lt;</v>
      </c>
      <c r="U97" s="15">
        <f>VLOOKUP(D97,'Obs Conc %CV_2'!$C$23:$Q$78,9,FALSE)</f>
        <v>0</v>
      </c>
      <c r="V97" s="14">
        <f>VLOOKUP(D97,'Obs Conc_2'!$C$23:$Q$78,10,FALSE)</f>
        <v>1028.01</v>
      </c>
      <c r="W97" s="15">
        <f>VLOOKUP(D97,'Obs Conc %CV_2'!$C$23:$Q$78,10,FALSE)</f>
        <v>0</v>
      </c>
      <c r="X97" s="14" t="str">
        <f>VLOOKUP(D97,'Obs Conc_2'!$C$23:$Q$78,11,FALSE)</f>
        <v>OOR &lt;</v>
      </c>
      <c r="Y97" s="15">
        <f>VLOOKUP(D97,'Obs Conc %CV_2'!$C$23:$Q$78,11,FALSE)</f>
        <v>0</v>
      </c>
      <c r="Z97" s="14" t="str">
        <f>VLOOKUP(D97,'Obs Conc_2'!$C$23:$Q$78,12,FALSE)</f>
        <v>OOR &lt;</v>
      </c>
      <c r="AA97" s="15">
        <f>VLOOKUP(D97,'Obs Conc %CV_2'!$C$23:$Q$78,12,FALSE)</f>
        <v>0</v>
      </c>
      <c r="AB97" s="14" t="str">
        <f>VLOOKUP(D97,'Obs Conc_2'!$C$23:$Q$78,13,FALSE)</f>
        <v>OOR &lt;</v>
      </c>
      <c r="AC97" s="15">
        <f>VLOOKUP(D97,'Obs Conc %CV_2'!$C$23:$Q$78,13,FALSE)</f>
        <v>0</v>
      </c>
      <c r="AD97" s="14" t="str">
        <f>VLOOKUP(D97,'Obs Conc_2'!$C$23:$Q$78,14,FALSE)</f>
        <v>OOR &lt;</v>
      </c>
      <c r="AE97" s="15">
        <f>VLOOKUP(D97,'Obs Conc %CV_2'!$C$23:$Q$78,14,FALSE)</f>
        <v>0</v>
      </c>
      <c r="AF97" s="14" t="str">
        <f>VLOOKUP(D97,'Obs Conc_2'!$C$23:$Q$78,15,FALSE)</f>
        <v>OOR &lt;</v>
      </c>
      <c r="AG97" s="15">
        <f>VLOOKUP(D97,'Obs Conc %CV_2'!$C$23:$Q$78,15,FALSE)</f>
        <v>0</v>
      </c>
    </row>
    <row r="98" spans="1:33" x14ac:dyDescent="0.2">
      <c r="A98" s="2" t="s">
        <v>3</v>
      </c>
      <c r="B98" s="3" t="s">
        <v>2</v>
      </c>
      <c r="C98" s="2" t="s">
        <v>18</v>
      </c>
      <c r="D98" s="6" t="s">
        <v>216</v>
      </c>
      <c r="E98" s="12" t="s">
        <v>0</v>
      </c>
      <c r="F98" s="14" t="str">
        <f>VLOOKUP(D98,'Obs Conc_2'!$C$23:$Q$78,2,FALSE)</f>
        <v>OOR &lt;</v>
      </c>
      <c r="G98" s="15">
        <f>VLOOKUP(D98,'Obs Conc %CV_2'!$C$23:$Q$78,2,FALSE)</f>
        <v>0</v>
      </c>
      <c r="H98" s="14" t="str">
        <f>VLOOKUP(F98,'Obs Conc_2'!$E$23:$S$78,3,FALSE)</f>
        <v>OOR &lt;</v>
      </c>
      <c r="I98" s="15">
        <f>VLOOKUP(D98,'Obs Conc %CV_2'!$C$23:$Q$78,3,FALSE)</f>
        <v>0</v>
      </c>
      <c r="J98" s="14" t="str">
        <f>VLOOKUP(D98,'Obs Conc_2'!$C$23:$Q$78,4,FALSE)</f>
        <v>OOR &lt;</v>
      </c>
      <c r="K98" s="15">
        <f>VLOOKUP(D98,'Obs Conc %CV_2'!$C$23:$Q$78,4,FALSE)</f>
        <v>0</v>
      </c>
      <c r="L98" s="14" t="str">
        <f>VLOOKUP(D98,'Obs Conc_2'!$C$23:$Q$78,5,FALSE)</f>
        <v>OOR &lt;</v>
      </c>
      <c r="M98" s="15">
        <f>VLOOKUP(D98,'Obs Conc %CV_2'!$C$23:$Q$78,5,FALSE)</f>
        <v>0</v>
      </c>
      <c r="N98" s="14" t="str">
        <f>VLOOKUP(D98,'Obs Conc_2'!$C$23:$Q$78,6,FALSE)</f>
        <v>OOR &lt;</v>
      </c>
      <c r="O98" s="15">
        <f>VLOOKUP(D98,'Obs Conc %CV_2'!$C$23:$Q$78,6,FALSE)</f>
        <v>0</v>
      </c>
      <c r="P98" s="14">
        <f>VLOOKUP(D98,'Obs Conc_2'!$C$23:$Q$78,7,FALSE)</f>
        <v>24.86</v>
      </c>
      <c r="Q98" s="15">
        <f>VLOOKUP(D98,'Obs Conc %CV_2'!$C$23:$Q$78,7,FALSE)</f>
        <v>0</v>
      </c>
      <c r="R98" s="14">
        <f>VLOOKUP(D98,'Obs Conc_2'!$C$23:$Q$78,8,FALSE)</f>
        <v>12.54</v>
      </c>
      <c r="S98" s="15">
        <f>VLOOKUP(D98,'Obs Conc %CV_2'!$C$23:$Q$78,8,FALSE)</f>
        <v>0</v>
      </c>
      <c r="T98" s="14" t="str">
        <f>VLOOKUP(D98,'Obs Conc_2'!$C$23:$Q$78,9,FALSE)</f>
        <v>OOR &lt;</v>
      </c>
      <c r="U98" s="15">
        <f>VLOOKUP(D98,'Obs Conc %CV_2'!$C$23:$Q$78,9,FALSE)</f>
        <v>0</v>
      </c>
      <c r="V98" s="14">
        <f>VLOOKUP(D98,'Obs Conc_2'!$C$23:$Q$78,10,FALSE)</f>
        <v>649.27</v>
      </c>
      <c r="W98" s="15">
        <f>VLOOKUP(D98,'Obs Conc %CV_2'!$C$23:$Q$78,10,FALSE)</f>
        <v>0</v>
      </c>
      <c r="X98" s="14" t="str">
        <f>VLOOKUP(D98,'Obs Conc_2'!$C$23:$Q$78,11,FALSE)</f>
        <v>OOR &lt;</v>
      </c>
      <c r="Y98" s="15">
        <f>VLOOKUP(D98,'Obs Conc %CV_2'!$C$23:$Q$78,11,FALSE)</f>
        <v>0</v>
      </c>
      <c r="Z98" s="14" t="str">
        <f>VLOOKUP(D98,'Obs Conc_2'!$C$23:$Q$78,12,FALSE)</f>
        <v>OOR &lt;</v>
      </c>
      <c r="AA98" s="15">
        <f>VLOOKUP(D98,'Obs Conc %CV_2'!$C$23:$Q$78,12,FALSE)</f>
        <v>0</v>
      </c>
      <c r="AB98" s="14" t="str">
        <f>VLOOKUP(D98,'Obs Conc_2'!$C$23:$Q$78,13,FALSE)</f>
        <v>OOR &lt;</v>
      </c>
      <c r="AC98" s="15">
        <f>VLOOKUP(D98,'Obs Conc %CV_2'!$C$23:$Q$78,13,FALSE)</f>
        <v>0</v>
      </c>
      <c r="AD98" s="14" t="str">
        <f>VLOOKUP(D98,'Obs Conc_2'!$C$23:$Q$78,14,FALSE)</f>
        <v>OOR &lt;</v>
      </c>
      <c r="AE98" s="15">
        <f>VLOOKUP(D98,'Obs Conc %CV_2'!$C$23:$Q$78,14,FALSE)</f>
        <v>0</v>
      </c>
      <c r="AF98" s="14" t="str">
        <f>VLOOKUP(D98,'Obs Conc_2'!$C$23:$Q$78,15,FALSE)</f>
        <v>OOR &lt;</v>
      </c>
      <c r="AG98" s="15">
        <f>VLOOKUP(D98,'Obs Conc %CV_2'!$C$23:$Q$78,15,FALSE)</f>
        <v>0</v>
      </c>
    </row>
    <row r="99" spans="1:33" x14ac:dyDescent="0.2">
      <c r="A99" s="2" t="s">
        <v>3</v>
      </c>
      <c r="B99" s="3" t="s">
        <v>2</v>
      </c>
      <c r="C99" s="2" t="s">
        <v>17</v>
      </c>
      <c r="D99" s="6" t="s">
        <v>217</v>
      </c>
      <c r="E99" s="12" t="s">
        <v>0</v>
      </c>
      <c r="F99" s="14" t="str">
        <f>VLOOKUP(D99,'Obs Conc_2'!$C$23:$Q$78,2,FALSE)</f>
        <v>OOR &lt;</v>
      </c>
      <c r="G99" s="15">
        <f>VLOOKUP(D99,'Obs Conc %CV_2'!$C$23:$Q$78,2,FALSE)</f>
        <v>0</v>
      </c>
      <c r="H99" s="14" t="str">
        <f>VLOOKUP(F99,'Obs Conc_2'!$E$23:$S$78,3,FALSE)</f>
        <v>OOR &lt;</v>
      </c>
      <c r="I99" s="15">
        <f>VLOOKUP(D99,'Obs Conc %CV_2'!$C$23:$Q$78,3,FALSE)</f>
        <v>0</v>
      </c>
      <c r="J99" s="14" t="str">
        <f>VLOOKUP(D99,'Obs Conc_2'!$C$23:$Q$78,4,FALSE)</f>
        <v>OOR &lt;</v>
      </c>
      <c r="K99" s="15">
        <f>VLOOKUP(D99,'Obs Conc %CV_2'!$C$23:$Q$78,4,FALSE)</f>
        <v>0</v>
      </c>
      <c r="L99" s="14" t="str">
        <f>VLOOKUP(D99,'Obs Conc_2'!$C$23:$Q$78,5,FALSE)</f>
        <v>OOR &lt;</v>
      </c>
      <c r="M99" s="15">
        <f>VLOOKUP(D99,'Obs Conc %CV_2'!$C$23:$Q$78,5,FALSE)</f>
        <v>0</v>
      </c>
      <c r="N99" s="14" t="str">
        <f>VLOOKUP(D99,'Obs Conc_2'!$C$23:$Q$78,6,FALSE)</f>
        <v>OOR &lt;</v>
      </c>
      <c r="O99" s="15">
        <f>VLOOKUP(D99,'Obs Conc %CV_2'!$C$23:$Q$78,6,FALSE)</f>
        <v>0</v>
      </c>
      <c r="P99" s="14">
        <f>VLOOKUP(D99,'Obs Conc_2'!$C$23:$Q$78,7,FALSE)</f>
        <v>393.21</v>
      </c>
      <c r="Q99" s="15">
        <f>VLOOKUP(D99,'Obs Conc %CV_2'!$C$23:$Q$78,7,FALSE)</f>
        <v>0</v>
      </c>
      <c r="R99" s="14">
        <f>VLOOKUP(D99,'Obs Conc_2'!$C$23:$Q$78,8,FALSE)</f>
        <v>19.64</v>
      </c>
      <c r="S99" s="15">
        <f>VLOOKUP(D99,'Obs Conc %CV_2'!$C$23:$Q$78,8,FALSE)</f>
        <v>0</v>
      </c>
      <c r="T99" s="14">
        <f>VLOOKUP(D99,'Obs Conc_2'!$C$23:$Q$78,9,FALSE)</f>
        <v>1.84</v>
      </c>
      <c r="U99" s="15">
        <f>VLOOKUP(D99,'Obs Conc %CV_2'!$C$23:$Q$78,9,FALSE)</f>
        <v>0</v>
      </c>
      <c r="V99" s="14">
        <f>VLOOKUP(D99,'Obs Conc_2'!$C$23:$Q$78,10,FALSE)</f>
        <v>709.28</v>
      </c>
      <c r="W99" s="15">
        <f>VLOOKUP(D99,'Obs Conc %CV_2'!$C$23:$Q$78,10,FALSE)</f>
        <v>0</v>
      </c>
      <c r="X99" s="14" t="str">
        <f>VLOOKUP(D99,'Obs Conc_2'!$C$23:$Q$78,11,FALSE)</f>
        <v>OOR &lt;</v>
      </c>
      <c r="Y99" s="15">
        <f>VLOOKUP(D99,'Obs Conc %CV_2'!$C$23:$Q$78,11,FALSE)</f>
        <v>0</v>
      </c>
      <c r="Z99" s="14" t="str">
        <f>VLOOKUP(D99,'Obs Conc_2'!$C$23:$Q$78,12,FALSE)</f>
        <v>OOR &lt;</v>
      </c>
      <c r="AA99" s="15">
        <f>VLOOKUP(D99,'Obs Conc %CV_2'!$C$23:$Q$78,12,FALSE)</f>
        <v>0</v>
      </c>
      <c r="AB99" s="14" t="str">
        <f>VLOOKUP(D99,'Obs Conc_2'!$C$23:$Q$78,13,FALSE)</f>
        <v>OOR &lt;</v>
      </c>
      <c r="AC99" s="15">
        <f>VLOOKUP(D99,'Obs Conc %CV_2'!$C$23:$Q$78,13,FALSE)</f>
        <v>0</v>
      </c>
      <c r="AD99" s="14" t="str">
        <f>VLOOKUP(D99,'Obs Conc_2'!$C$23:$Q$78,14,FALSE)</f>
        <v>OOR &lt;</v>
      </c>
      <c r="AE99" s="15">
        <f>VLOOKUP(D99,'Obs Conc %CV_2'!$C$23:$Q$78,14,FALSE)</f>
        <v>0</v>
      </c>
      <c r="AF99" s="14" t="str">
        <f>VLOOKUP(D99,'Obs Conc_2'!$C$23:$Q$78,15,FALSE)</f>
        <v>OOR &lt;</v>
      </c>
      <c r="AG99" s="15">
        <f>VLOOKUP(D99,'Obs Conc %CV_2'!$C$23:$Q$78,15,FALSE)</f>
        <v>0</v>
      </c>
    </row>
    <row r="100" spans="1:33" x14ac:dyDescent="0.2">
      <c r="A100" s="2" t="s">
        <v>3</v>
      </c>
      <c r="B100" s="3" t="s">
        <v>2</v>
      </c>
      <c r="C100" s="2" t="s">
        <v>16</v>
      </c>
      <c r="D100" s="6" t="s">
        <v>218</v>
      </c>
      <c r="E100" s="12" t="s">
        <v>0</v>
      </c>
      <c r="F100" s="14" t="str">
        <f>VLOOKUP(D100,'Obs Conc_2'!$C$23:$Q$78,2,FALSE)</f>
        <v>OOR &lt;</v>
      </c>
      <c r="G100" s="15">
        <f>VLOOKUP(D100,'Obs Conc %CV_2'!$C$23:$Q$78,2,FALSE)</f>
        <v>0</v>
      </c>
      <c r="H100" s="14" t="str">
        <f>VLOOKUP(F100,'Obs Conc_2'!$E$23:$S$78,3,FALSE)</f>
        <v>OOR &lt;</v>
      </c>
      <c r="I100" s="15">
        <f>VLOOKUP(D100,'Obs Conc %CV_2'!$C$23:$Q$78,3,FALSE)</f>
        <v>0</v>
      </c>
      <c r="J100" s="14" t="str">
        <f>VLOOKUP(D100,'Obs Conc_2'!$C$23:$Q$78,4,FALSE)</f>
        <v>OOR &lt;</v>
      </c>
      <c r="K100" s="15">
        <f>VLOOKUP(D100,'Obs Conc %CV_2'!$C$23:$Q$78,4,FALSE)</f>
        <v>0</v>
      </c>
      <c r="L100" s="14" t="str">
        <f>VLOOKUP(D100,'Obs Conc_2'!$C$23:$Q$78,5,FALSE)</f>
        <v>OOR &lt;</v>
      </c>
      <c r="M100" s="15">
        <f>VLOOKUP(D100,'Obs Conc %CV_2'!$C$23:$Q$78,5,FALSE)</f>
        <v>0</v>
      </c>
      <c r="N100" s="14" t="str">
        <f>VLOOKUP(D100,'Obs Conc_2'!$C$23:$Q$78,6,FALSE)</f>
        <v>OOR &lt;</v>
      </c>
      <c r="O100" s="15">
        <f>VLOOKUP(D100,'Obs Conc %CV_2'!$C$23:$Q$78,6,FALSE)</f>
        <v>0</v>
      </c>
      <c r="P100" s="14">
        <f>VLOOKUP(D100,'Obs Conc_2'!$C$23:$Q$78,7,FALSE)</f>
        <v>39.020000000000003</v>
      </c>
      <c r="Q100" s="15">
        <f>VLOOKUP(D100,'Obs Conc %CV_2'!$C$23:$Q$78,7,FALSE)</f>
        <v>0</v>
      </c>
      <c r="R100" s="14">
        <f>VLOOKUP(D100,'Obs Conc_2'!$C$23:$Q$78,8,FALSE)</f>
        <v>6.28</v>
      </c>
      <c r="S100" s="15">
        <f>VLOOKUP(D100,'Obs Conc %CV_2'!$C$23:$Q$78,8,FALSE)</f>
        <v>0</v>
      </c>
      <c r="T100" s="14" t="str">
        <f>VLOOKUP(D100,'Obs Conc_2'!$C$23:$Q$78,9,FALSE)</f>
        <v>OOR &lt;</v>
      </c>
      <c r="U100" s="15">
        <f>VLOOKUP(D100,'Obs Conc %CV_2'!$C$23:$Q$78,9,FALSE)</f>
        <v>0</v>
      </c>
      <c r="V100" s="14">
        <f>VLOOKUP(D100,'Obs Conc_2'!$C$23:$Q$78,10,FALSE)</f>
        <v>585.92999999999995</v>
      </c>
      <c r="W100" s="15">
        <f>VLOOKUP(D100,'Obs Conc %CV_2'!$C$23:$Q$78,10,FALSE)</f>
        <v>0</v>
      </c>
      <c r="X100" s="14" t="str">
        <f>VLOOKUP(D100,'Obs Conc_2'!$C$23:$Q$78,11,FALSE)</f>
        <v>OOR &lt;</v>
      </c>
      <c r="Y100" s="15">
        <f>VLOOKUP(D100,'Obs Conc %CV_2'!$C$23:$Q$78,11,FALSE)</f>
        <v>0</v>
      </c>
      <c r="Z100" s="14" t="str">
        <f>VLOOKUP(D100,'Obs Conc_2'!$C$23:$Q$78,12,FALSE)</f>
        <v>OOR &lt;</v>
      </c>
      <c r="AA100" s="15">
        <f>VLOOKUP(D100,'Obs Conc %CV_2'!$C$23:$Q$78,12,FALSE)</f>
        <v>0</v>
      </c>
      <c r="AB100" s="14" t="str">
        <f>VLOOKUP(D100,'Obs Conc_2'!$C$23:$Q$78,13,FALSE)</f>
        <v>OOR &lt;</v>
      </c>
      <c r="AC100" s="15">
        <f>VLOOKUP(D100,'Obs Conc %CV_2'!$C$23:$Q$78,13,FALSE)</f>
        <v>0</v>
      </c>
      <c r="AD100" s="14" t="str">
        <f>VLOOKUP(D100,'Obs Conc_2'!$C$23:$Q$78,14,FALSE)</f>
        <v>OOR &lt;</v>
      </c>
      <c r="AE100" s="15">
        <f>VLOOKUP(D100,'Obs Conc %CV_2'!$C$23:$Q$78,14,FALSE)</f>
        <v>0</v>
      </c>
      <c r="AF100" s="14" t="str">
        <f>VLOOKUP(D100,'Obs Conc_2'!$C$23:$Q$78,15,FALSE)</f>
        <v>OOR &lt;</v>
      </c>
      <c r="AG100" s="15">
        <f>VLOOKUP(D100,'Obs Conc %CV_2'!$C$23:$Q$78,15,FALSE)</f>
        <v>0</v>
      </c>
    </row>
    <row r="101" spans="1:33" x14ac:dyDescent="0.2">
      <c r="A101" s="2" t="s">
        <v>3</v>
      </c>
      <c r="B101" s="3" t="s">
        <v>2</v>
      </c>
      <c r="C101" s="2" t="s">
        <v>15</v>
      </c>
      <c r="D101" s="6" t="s">
        <v>219</v>
      </c>
      <c r="E101" s="12" t="s">
        <v>0</v>
      </c>
      <c r="F101" s="14" t="str">
        <f>VLOOKUP(D101,'Obs Conc_2'!$C$23:$Q$78,2,FALSE)</f>
        <v>OOR &lt;</v>
      </c>
      <c r="G101" s="15">
        <f>VLOOKUP(D101,'Obs Conc %CV_2'!$C$23:$Q$78,2,FALSE)</f>
        <v>0</v>
      </c>
      <c r="H101" s="14" t="str">
        <f>VLOOKUP(F101,'Obs Conc_2'!$E$23:$S$78,3,FALSE)</f>
        <v>OOR &lt;</v>
      </c>
      <c r="I101" s="15">
        <f>VLOOKUP(D101,'Obs Conc %CV_2'!$C$23:$Q$78,3,FALSE)</f>
        <v>0</v>
      </c>
      <c r="J101" s="14" t="str">
        <f>VLOOKUP(D101,'Obs Conc_2'!$C$23:$Q$78,4,FALSE)</f>
        <v>OOR &lt;</v>
      </c>
      <c r="K101" s="15">
        <f>VLOOKUP(D101,'Obs Conc %CV_2'!$C$23:$Q$78,4,FALSE)</f>
        <v>0</v>
      </c>
      <c r="L101" s="14" t="str">
        <f>VLOOKUP(D101,'Obs Conc_2'!$C$23:$Q$78,5,FALSE)</f>
        <v>OOR &lt;</v>
      </c>
      <c r="M101" s="15">
        <f>VLOOKUP(D101,'Obs Conc %CV_2'!$C$23:$Q$78,5,FALSE)</f>
        <v>0</v>
      </c>
      <c r="N101" s="14" t="str">
        <f>VLOOKUP(D101,'Obs Conc_2'!$C$23:$Q$78,6,FALSE)</f>
        <v>OOR &lt;</v>
      </c>
      <c r="O101" s="15">
        <f>VLOOKUP(D101,'Obs Conc %CV_2'!$C$23:$Q$78,6,FALSE)</f>
        <v>0</v>
      </c>
      <c r="P101" s="14">
        <f>VLOOKUP(D101,'Obs Conc_2'!$C$23:$Q$78,7,FALSE)</f>
        <v>8.3699999999999992</v>
      </c>
      <c r="Q101" s="15">
        <f>VLOOKUP(D101,'Obs Conc %CV_2'!$C$23:$Q$78,7,FALSE)</f>
        <v>0</v>
      </c>
      <c r="R101" s="14">
        <f>VLOOKUP(D101,'Obs Conc_2'!$C$23:$Q$78,8,FALSE)</f>
        <v>14.37</v>
      </c>
      <c r="S101" s="15">
        <f>VLOOKUP(D101,'Obs Conc %CV_2'!$C$23:$Q$78,8,FALSE)</f>
        <v>0</v>
      </c>
      <c r="T101" s="14" t="str">
        <f>VLOOKUP(D101,'Obs Conc_2'!$C$23:$Q$78,9,FALSE)</f>
        <v>*0.99</v>
      </c>
      <c r="U101" s="15">
        <f>VLOOKUP(D101,'Obs Conc %CV_2'!$C$23:$Q$78,9,FALSE)</f>
        <v>0</v>
      </c>
      <c r="V101" s="14">
        <f>VLOOKUP(D101,'Obs Conc_2'!$C$23:$Q$78,10,FALSE)</f>
        <v>1405.9</v>
      </c>
      <c r="W101" s="15">
        <f>VLOOKUP(D101,'Obs Conc %CV_2'!$C$23:$Q$78,10,FALSE)</f>
        <v>0</v>
      </c>
      <c r="X101" s="14" t="str">
        <f>VLOOKUP(D101,'Obs Conc_2'!$C$23:$Q$78,11,FALSE)</f>
        <v>OOR &lt;</v>
      </c>
      <c r="Y101" s="15">
        <f>VLOOKUP(D101,'Obs Conc %CV_2'!$C$23:$Q$78,11,FALSE)</f>
        <v>0</v>
      </c>
      <c r="Z101" s="14" t="str">
        <f>VLOOKUP(D101,'Obs Conc_2'!$C$23:$Q$78,12,FALSE)</f>
        <v>OOR &lt;</v>
      </c>
      <c r="AA101" s="15">
        <f>VLOOKUP(D101,'Obs Conc %CV_2'!$C$23:$Q$78,12,FALSE)</f>
        <v>0</v>
      </c>
      <c r="AB101" s="14" t="str">
        <f>VLOOKUP(D101,'Obs Conc_2'!$C$23:$Q$78,13,FALSE)</f>
        <v>OOR &lt;</v>
      </c>
      <c r="AC101" s="15">
        <f>VLOOKUP(D101,'Obs Conc %CV_2'!$C$23:$Q$78,13,FALSE)</f>
        <v>0</v>
      </c>
      <c r="AD101" s="14" t="str">
        <f>VLOOKUP(D101,'Obs Conc_2'!$C$23:$Q$78,14,FALSE)</f>
        <v>OOR &lt;</v>
      </c>
      <c r="AE101" s="15">
        <f>VLOOKUP(D101,'Obs Conc %CV_2'!$C$23:$Q$78,14,FALSE)</f>
        <v>0</v>
      </c>
      <c r="AF101" s="14" t="str">
        <f>VLOOKUP(D101,'Obs Conc_2'!$C$23:$Q$78,15,FALSE)</f>
        <v>OOR &lt;</v>
      </c>
      <c r="AG101" s="15">
        <f>VLOOKUP(D101,'Obs Conc %CV_2'!$C$23:$Q$78,15,FALSE)</f>
        <v>0</v>
      </c>
    </row>
    <row r="102" spans="1:33" x14ac:dyDescent="0.2">
      <c r="A102" s="2" t="s">
        <v>3</v>
      </c>
      <c r="B102" s="3" t="s">
        <v>2</v>
      </c>
      <c r="C102" s="2" t="s">
        <v>14</v>
      </c>
      <c r="D102" s="6" t="s">
        <v>220</v>
      </c>
      <c r="E102" s="12" t="s">
        <v>0</v>
      </c>
      <c r="F102" s="14" t="str">
        <f>VLOOKUP(D102,'Obs Conc_2'!$C$23:$Q$78,2,FALSE)</f>
        <v>OOR &lt;</v>
      </c>
      <c r="G102" s="15">
        <f>VLOOKUP(D102,'Obs Conc %CV_2'!$C$23:$Q$78,2,FALSE)</f>
        <v>0</v>
      </c>
      <c r="H102" s="14" t="str">
        <f>VLOOKUP(F102,'Obs Conc_2'!$E$23:$S$78,3,FALSE)</f>
        <v>OOR &lt;</v>
      </c>
      <c r="I102" s="15">
        <f>VLOOKUP(D102,'Obs Conc %CV_2'!$C$23:$Q$78,3,FALSE)</f>
        <v>0</v>
      </c>
      <c r="J102" s="14" t="str">
        <f>VLOOKUP(D102,'Obs Conc_2'!$C$23:$Q$78,4,FALSE)</f>
        <v>OOR &lt;</v>
      </c>
      <c r="K102" s="15">
        <f>VLOOKUP(D102,'Obs Conc %CV_2'!$C$23:$Q$78,4,FALSE)</f>
        <v>0</v>
      </c>
      <c r="L102" s="14" t="str">
        <f>VLOOKUP(D102,'Obs Conc_2'!$C$23:$Q$78,5,FALSE)</f>
        <v>OOR &lt;</v>
      </c>
      <c r="M102" s="15">
        <f>VLOOKUP(D102,'Obs Conc %CV_2'!$C$23:$Q$78,5,FALSE)</f>
        <v>0</v>
      </c>
      <c r="N102" s="14" t="str">
        <f>VLOOKUP(D102,'Obs Conc_2'!$C$23:$Q$78,6,FALSE)</f>
        <v>OOR &lt;</v>
      </c>
      <c r="O102" s="15">
        <f>VLOOKUP(D102,'Obs Conc %CV_2'!$C$23:$Q$78,6,FALSE)</f>
        <v>0</v>
      </c>
      <c r="P102" s="14">
        <f>VLOOKUP(D102,'Obs Conc_2'!$C$23:$Q$78,7,FALSE)</f>
        <v>27.16</v>
      </c>
      <c r="Q102" s="15">
        <f>VLOOKUP(D102,'Obs Conc %CV_2'!$C$23:$Q$78,7,FALSE)</f>
        <v>0</v>
      </c>
      <c r="R102" s="14" t="str">
        <f>VLOOKUP(D102,'Obs Conc_2'!$C$23:$Q$78,8,FALSE)</f>
        <v>OOR &lt;</v>
      </c>
      <c r="S102" s="15">
        <f>VLOOKUP(D102,'Obs Conc %CV_2'!$C$23:$Q$78,8,FALSE)</f>
        <v>0</v>
      </c>
      <c r="T102" s="14" t="str">
        <f>VLOOKUP(D102,'Obs Conc_2'!$C$23:$Q$78,9,FALSE)</f>
        <v>OOR &lt;</v>
      </c>
      <c r="U102" s="15">
        <f>VLOOKUP(D102,'Obs Conc %CV_2'!$C$23:$Q$78,9,FALSE)</f>
        <v>0</v>
      </c>
      <c r="V102" s="14">
        <f>VLOOKUP(D102,'Obs Conc_2'!$C$23:$Q$78,10,FALSE)</f>
        <v>782.4</v>
      </c>
      <c r="W102" s="15">
        <f>VLOOKUP(D102,'Obs Conc %CV_2'!$C$23:$Q$78,10,FALSE)</f>
        <v>0</v>
      </c>
      <c r="X102" s="14" t="str">
        <f>VLOOKUP(D102,'Obs Conc_2'!$C$23:$Q$78,11,FALSE)</f>
        <v>OOR &lt;</v>
      </c>
      <c r="Y102" s="15">
        <f>VLOOKUP(D102,'Obs Conc %CV_2'!$C$23:$Q$78,11,FALSE)</f>
        <v>0</v>
      </c>
      <c r="Z102" s="14" t="str">
        <f>VLOOKUP(D102,'Obs Conc_2'!$C$23:$Q$78,12,FALSE)</f>
        <v>OOR &lt;</v>
      </c>
      <c r="AA102" s="15">
        <f>VLOOKUP(D102,'Obs Conc %CV_2'!$C$23:$Q$78,12,FALSE)</f>
        <v>0</v>
      </c>
      <c r="AB102" s="14" t="str">
        <f>VLOOKUP(D102,'Obs Conc_2'!$C$23:$Q$78,13,FALSE)</f>
        <v>OOR &lt;</v>
      </c>
      <c r="AC102" s="15">
        <f>VLOOKUP(D102,'Obs Conc %CV_2'!$C$23:$Q$78,13,FALSE)</f>
        <v>0</v>
      </c>
      <c r="AD102" s="14" t="str">
        <f>VLOOKUP(D102,'Obs Conc_2'!$C$23:$Q$78,14,FALSE)</f>
        <v>OOR &lt;</v>
      </c>
      <c r="AE102" s="15">
        <f>VLOOKUP(D102,'Obs Conc %CV_2'!$C$23:$Q$78,14,FALSE)</f>
        <v>0</v>
      </c>
      <c r="AF102" s="14" t="str">
        <f>VLOOKUP(D102,'Obs Conc_2'!$C$23:$Q$78,15,FALSE)</f>
        <v>OOR &lt;</v>
      </c>
      <c r="AG102" s="15">
        <f>VLOOKUP(D102,'Obs Conc %CV_2'!$C$23:$Q$78,15,FALSE)</f>
        <v>0</v>
      </c>
    </row>
    <row r="103" spans="1:33" x14ac:dyDescent="0.2">
      <c r="A103" s="2" t="s">
        <v>3</v>
      </c>
      <c r="B103" s="3" t="s">
        <v>2</v>
      </c>
      <c r="C103" s="2" t="s">
        <v>13</v>
      </c>
      <c r="D103" s="6" t="s">
        <v>221</v>
      </c>
      <c r="E103" s="12" t="s">
        <v>0</v>
      </c>
      <c r="F103" s="14" t="str">
        <f>VLOOKUP(D103,'Obs Conc_2'!$C$23:$Q$78,2,FALSE)</f>
        <v>OOR &lt;</v>
      </c>
      <c r="G103" s="15">
        <f>VLOOKUP(D103,'Obs Conc %CV_2'!$C$23:$Q$78,2,FALSE)</f>
        <v>0</v>
      </c>
      <c r="H103" s="14" t="str">
        <f>VLOOKUP(F103,'Obs Conc_2'!$E$23:$S$78,3,FALSE)</f>
        <v>OOR &lt;</v>
      </c>
      <c r="I103" s="15">
        <f>VLOOKUP(D103,'Obs Conc %CV_2'!$C$23:$Q$78,3,FALSE)</f>
        <v>0</v>
      </c>
      <c r="J103" s="14" t="str">
        <f>VLOOKUP(D103,'Obs Conc_2'!$C$23:$Q$78,4,FALSE)</f>
        <v>OOR &lt;</v>
      </c>
      <c r="K103" s="15">
        <f>VLOOKUP(D103,'Obs Conc %CV_2'!$C$23:$Q$78,4,FALSE)</f>
        <v>0</v>
      </c>
      <c r="L103" s="14" t="str">
        <f>VLOOKUP(D103,'Obs Conc_2'!$C$23:$Q$78,5,FALSE)</f>
        <v>OOR &lt;</v>
      </c>
      <c r="M103" s="15">
        <f>VLOOKUP(D103,'Obs Conc %CV_2'!$C$23:$Q$78,5,FALSE)</f>
        <v>0</v>
      </c>
      <c r="N103" s="14" t="str">
        <f>VLOOKUP(D103,'Obs Conc_2'!$C$23:$Q$78,6,FALSE)</f>
        <v>OOR &lt;</v>
      </c>
      <c r="O103" s="15">
        <f>VLOOKUP(D103,'Obs Conc %CV_2'!$C$23:$Q$78,6,FALSE)</f>
        <v>0</v>
      </c>
      <c r="P103" s="14">
        <f>VLOOKUP(D103,'Obs Conc_2'!$C$23:$Q$78,7,FALSE)</f>
        <v>51.06</v>
      </c>
      <c r="Q103" s="15">
        <f>VLOOKUP(D103,'Obs Conc %CV_2'!$C$23:$Q$78,7,FALSE)</f>
        <v>0</v>
      </c>
      <c r="R103" s="14">
        <f>VLOOKUP(D103,'Obs Conc_2'!$C$23:$Q$78,8,FALSE)</f>
        <v>55.41</v>
      </c>
      <c r="S103" s="15">
        <f>VLOOKUP(D103,'Obs Conc %CV_2'!$C$23:$Q$78,8,FALSE)</f>
        <v>0</v>
      </c>
      <c r="T103" s="14" t="str">
        <f>VLOOKUP(D103,'Obs Conc_2'!$C$23:$Q$78,9,FALSE)</f>
        <v>OOR &lt;</v>
      </c>
      <c r="U103" s="15">
        <f>VLOOKUP(D103,'Obs Conc %CV_2'!$C$23:$Q$78,9,FALSE)</f>
        <v>0</v>
      </c>
      <c r="V103" s="14">
        <f>VLOOKUP(D103,'Obs Conc_2'!$C$23:$Q$78,10,FALSE)</f>
        <v>625.58000000000004</v>
      </c>
      <c r="W103" s="15">
        <f>VLOOKUP(D103,'Obs Conc %CV_2'!$C$23:$Q$78,10,FALSE)</f>
        <v>0</v>
      </c>
      <c r="X103" s="14" t="str">
        <f>VLOOKUP(D103,'Obs Conc_2'!$C$23:$Q$78,11,FALSE)</f>
        <v>OOR &lt;</v>
      </c>
      <c r="Y103" s="15">
        <f>VLOOKUP(D103,'Obs Conc %CV_2'!$C$23:$Q$78,11,FALSE)</f>
        <v>0</v>
      </c>
      <c r="Z103" s="14" t="str">
        <f>VLOOKUP(D103,'Obs Conc_2'!$C$23:$Q$78,12,FALSE)</f>
        <v>OOR &lt;</v>
      </c>
      <c r="AA103" s="15">
        <f>VLOOKUP(D103,'Obs Conc %CV_2'!$C$23:$Q$78,12,FALSE)</f>
        <v>0</v>
      </c>
      <c r="AB103" s="14" t="str">
        <f>VLOOKUP(D103,'Obs Conc_2'!$C$23:$Q$78,13,FALSE)</f>
        <v>OOR &lt;</v>
      </c>
      <c r="AC103" s="15">
        <f>VLOOKUP(D103,'Obs Conc %CV_2'!$C$23:$Q$78,13,FALSE)</f>
        <v>0</v>
      </c>
      <c r="AD103" s="14" t="str">
        <f>VLOOKUP(D103,'Obs Conc_2'!$C$23:$Q$78,14,FALSE)</f>
        <v>OOR &lt;</v>
      </c>
      <c r="AE103" s="15">
        <f>VLOOKUP(D103,'Obs Conc %CV_2'!$C$23:$Q$78,14,FALSE)</f>
        <v>0</v>
      </c>
      <c r="AF103" s="14" t="str">
        <f>VLOOKUP(D103,'Obs Conc_2'!$C$23:$Q$78,15,FALSE)</f>
        <v>OOR &lt;</v>
      </c>
      <c r="AG103" s="15">
        <f>VLOOKUP(D103,'Obs Conc %CV_2'!$C$23:$Q$78,15,FALSE)</f>
        <v>0</v>
      </c>
    </row>
    <row r="104" spans="1:33" x14ac:dyDescent="0.2">
      <c r="A104" s="2" t="s">
        <v>3</v>
      </c>
      <c r="B104" s="3" t="s">
        <v>2</v>
      </c>
      <c r="C104" s="2" t="s">
        <v>12</v>
      </c>
      <c r="D104" s="6" t="s">
        <v>222</v>
      </c>
      <c r="E104" s="12" t="s">
        <v>0</v>
      </c>
      <c r="F104" s="14" t="str">
        <f>VLOOKUP(D104,'Obs Conc_2'!$C$23:$Q$78,2,FALSE)</f>
        <v>OOR &lt;</v>
      </c>
      <c r="G104" s="15">
        <f>VLOOKUP(D104,'Obs Conc %CV_2'!$C$23:$Q$78,2,FALSE)</f>
        <v>0</v>
      </c>
      <c r="H104" s="14" t="str">
        <f>VLOOKUP(F104,'Obs Conc_2'!$E$23:$S$78,3,FALSE)</f>
        <v>OOR &lt;</v>
      </c>
      <c r="I104" s="15">
        <f>VLOOKUP(D104,'Obs Conc %CV_2'!$C$23:$Q$78,3,FALSE)</f>
        <v>0</v>
      </c>
      <c r="J104" s="14" t="str">
        <f>VLOOKUP(D104,'Obs Conc_2'!$C$23:$Q$78,4,FALSE)</f>
        <v>OOR &lt;</v>
      </c>
      <c r="K104" s="15">
        <f>VLOOKUP(D104,'Obs Conc %CV_2'!$C$23:$Q$78,4,FALSE)</f>
        <v>0</v>
      </c>
      <c r="L104" s="14" t="str">
        <f>VLOOKUP(D104,'Obs Conc_2'!$C$23:$Q$78,5,FALSE)</f>
        <v>OOR &lt;</v>
      </c>
      <c r="M104" s="15">
        <f>VLOOKUP(D104,'Obs Conc %CV_2'!$C$23:$Q$78,5,FALSE)</f>
        <v>0</v>
      </c>
      <c r="N104" s="14" t="str">
        <f>VLOOKUP(D104,'Obs Conc_2'!$C$23:$Q$78,6,FALSE)</f>
        <v>OOR &lt;</v>
      </c>
      <c r="O104" s="15">
        <f>VLOOKUP(D104,'Obs Conc %CV_2'!$C$23:$Q$78,6,FALSE)</f>
        <v>0</v>
      </c>
      <c r="P104" s="14">
        <f>VLOOKUP(D104,'Obs Conc_2'!$C$23:$Q$78,7,FALSE)</f>
        <v>296.05</v>
      </c>
      <c r="Q104" s="15">
        <f>VLOOKUP(D104,'Obs Conc %CV_2'!$C$23:$Q$78,7,FALSE)</f>
        <v>0</v>
      </c>
      <c r="R104" s="14">
        <f>VLOOKUP(D104,'Obs Conc_2'!$C$23:$Q$78,8,FALSE)</f>
        <v>103.24</v>
      </c>
      <c r="S104" s="15">
        <f>VLOOKUP(D104,'Obs Conc %CV_2'!$C$23:$Q$78,8,FALSE)</f>
        <v>0</v>
      </c>
      <c r="T104" s="14">
        <f>VLOOKUP(D104,'Obs Conc_2'!$C$23:$Q$78,9,FALSE)</f>
        <v>35.65</v>
      </c>
      <c r="U104" s="15">
        <f>VLOOKUP(D104,'Obs Conc %CV_2'!$C$23:$Q$78,9,FALSE)</f>
        <v>0</v>
      </c>
      <c r="V104" s="14">
        <f>VLOOKUP(D104,'Obs Conc_2'!$C$23:$Q$78,10,FALSE)</f>
        <v>415.35</v>
      </c>
      <c r="W104" s="15">
        <f>VLOOKUP(D104,'Obs Conc %CV_2'!$C$23:$Q$78,10,FALSE)</f>
        <v>0</v>
      </c>
      <c r="X104" s="14" t="str">
        <f>VLOOKUP(D104,'Obs Conc_2'!$C$23:$Q$78,11,FALSE)</f>
        <v>OOR &lt;</v>
      </c>
      <c r="Y104" s="15">
        <f>VLOOKUP(D104,'Obs Conc %CV_2'!$C$23:$Q$78,11,FALSE)</f>
        <v>0</v>
      </c>
      <c r="Z104" s="14" t="str">
        <f>VLOOKUP(D104,'Obs Conc_2'!$C$23:$Q$78,12,FALSE)</f>
        <v>OOR &lt;</v>
      </c>
      <c r="AA104" s="15">
        <f>VLOOKUP(D104,'Obs Conc %CV_2'!$C$23:$Q$78,12,FALSE)</f>
        <v>0</v>
      </c>
      <c r="AB104" s="14" t="str">
        <f>VLOOKUP(D104,'Obs Conc_2'!$C$23:$Q$78,13,FALSE)</f>
        <v>OOR &lt;</v>
      </c>
      <c r="AC104" s="15">
        <f>VLOOKUP(D104,'Obs Conc %CV_2'!$C$23:$Q$78,13,FALSE)</f>
        <v>0</v>
      </c>
      <c r="AD104" s="14" t="str">
        <f>VLOOKUP(D104,'Obs Conc_2'!$C$23:$Q$78,14,FALSE)</f>
        <v>OOR &lt;</v>
      </c>
      <c r="AE104" s="15">
        <f>VLOOKUP(D104,'Obs Conc %CV_2'!$C$23:$Q$78,14,FALSE)</f>
        <v>0</v>
      </c>
      <c r="AF104" s="14" t="str">
        <f>VLOOKUP(D104,'Obs Conc_2'!$C$23:$Q$78,15,FALSE)</f>
        <v>OOR &lt;</v>
      </c>
      <c r="AG104" s="15">
        <f>VLOOKUP(D104,'Obs Conc %CV_2'!$C$23:$Q$78,15,FALSE)</f>
        <v>0</v>
      </c>
    </row>
    <row r="105" spans="1:33" x14ac:dyDescent="0.2">
      <c r="A105" s="2" t="s">
        <v>3</v>
      </c>
      <c r="B105" s="3" t="s">
        <v>2</v>
      </c>
      <c r="C105" s="2" t="s">
        <v>11</v>
      </c>
      <c r="D105" s="6" t="s">
        <v>223</v>
      </c>
      <c r="E105" s="12" t="s">
        <v>0</v>
      </c>
      <c r="F105" s="14" t="str">
        <f>VLOOKUP(D105,'Obs Conc_2'!$C$23:$Q$78,2,FALSE)</f>
        <v>OOR &lt;</v>
      </c>
      <c r="G105" s="15">
        <f>VLOOKUP(D105,'Obs Conc %CV_2'!$C$23:$Q$78,2,FALSE)</f>
        <v>0</v>
      </c>
      <c r="H105" s="14" t="str">
        <f>VLOOKUP(F105,'Obs Conc_2'!$E$23:$S$78,3,FALSE)</f>
        <v>OOR &lt;</v>
      </c>
      <c r="I105" s="15">
        <f>VLOOKUP(D105,'Obs Conc %CV_2'!$C$23:$Q$78,3,FALSE)</f>
        <v>0</v>
      </c>
      <c r="J105" s="14" t="str">
        <f>VLOOKUP(D105,'Obs Conc_2'!$C$23:$Q$78,4,FALSE)</f>
        <v>OOR &lt;</v>
      </c>
      <c r="K105" s="15">
        <f>VLOOKUP(D105,'Obs Conc %CV_2'!$C$23:$Q$78,4,FALSE)</f>
        <v>0</v>
      </c>
      <c r="L105" s="14" t="str">
        <f>VLOOKUP(D105,'Obs Conc_2'!$C$23:$Q$78,5,FALSE)</f>
        <v>OOR &lt;</v>
      </c>
      <c r="M105" s="15">
        <f>VLOOKUP(D105,'Obs Conc %CV_2'!$C$23:$Q$78,5,FALSE)</f>
        <v>0</v>
      </c>
      <c r="N105" s="14" t="str">
        <f>VLOOKUP(D105,'Obs Conc_2'!$C$23:$Q$78,6,FALSE)</f>
        <v>OOR &lt;</v>
      </c>
      <c r="O105" s="15">
        <f>VLOOKUP(D105,'Obs Conc %CV_2'!$C$23:$Q$78,6,FALSE)</f>
        <v>0</v>
      </c>
      <c r="P105" s="14">
        <f>VLOOKUP(D105,'Obs Conc_2'!$C$23:$Q$78,7,FALSE)</f>
        <v>53.83</v>
      </c>
      <c r="Q105" s="15">
        <f>VLOOKUP(D105,'Obs Conc %CV_2'!$C$23:$Q$78,7,FALSE)</f>
        <v>0</v>
      </c>
      <c r="R105" s="14">
        <f>VLOOKUP(D105,'Obs Conc_2'!$C$23:$Q$78,8,FALSE)</f>
        <v>4.28</v>
      </c>
      <c r="S105" s="15">
        <f>VLOOKUP(D105,'Obs Conc %CV_2'!$C$23:$Q$78,8,FALSE)</f>
        <v>0</v>
      </c>
      <c r="T105" s="14" t="str">
        <f>VLOOKUP(D105,'Obs Conc_2'!$C$23:$Q$78,9,FALSE)</f>
        <v>OOR &lt;</v>
      </c>
      <c r="U105" s="15">
        <f>VLOOKUP(D105,'Obs Conc %CV_2'!$C$23:$Q$78,9,FALSE)</f>
        <v>0</v>
      </c>
      <c r="V105" s="14">
        <f>VLOOKUP(D105,'Obs Conc_2'!$C$23:$Q$78,10,FALSE)</f>
        <v>341.31</v>
      </c>
      <c r="W105" s="15">
        <f>VLOOKUP(D105,'Obs Conc %CV_2'!$C$23:$Q$78,10,FALSE)</f>
        <v>0</v>
      </c>
      <c r="X105" s="14" t="str">
        <f>VLOOKUP(D105,'Obs Conc_2'!$C$23:$Q$78,11,FALSE)</f>
        <v>OOR &lt;</v>
      </c>
      <c r="Y105" s="15">
        <f>VLOOKUP(D105,'Obs Conc %CV_2'!$C$23:$Q$78,11,FALSE)</f>
        <v>0</v>
      </c>
      <c r="Z105" s="14" t="str">
        <f>VLOOKUP(D105,'Obs Conc_2'!$C$23:$Q$78,12,FALSE)</f>
        <v>OOR &lt;</v>
      </c>
      <c r="AA105" s="15">
        <f>VLOOKUP(D105,'Obs Conc %CV_2'!$C$23:$Q$78,12,FALSE)</f>
        <v>0</v>
      </c>
      <c r="AB105" s="14" t="str">
        <f>VLOOKUP(D105,'Obs Conc_2'!$C$23:$Q$78,13,FALSE)</f>
        <v>OOR &lt;</v>
      </c>
      <c r="AC105" s="15">
        <f>VLOOKUP(D105,'Obs Conc %CV_2'!$C$23:$Q$78,13,FALSE)</f>
        <v>0</v>
      </c>
      <c r="AD105" s="14" t="str">
        <f>VLOOKUP(D105,'Obs Conc_2'!$C$23:$Q$78,14,FALSE)</f>
        <v>OOR &lt;</v>
      </c>
      <c r="AE105" s="15">
        <f>VLOOKUP(D105,'Obs Conc %CV_2'!$C$23:$Q$78,14,FALSE)</f>
        <v>0</v>
      </c>
      <c r="AF105" s="14" t="str">
        <f>VLOOKUP(D105,'Obs Conc_2'!$C$23:$Q$78,15,FALSE)</f>
        <v>OOR &lt;</v>
      </c>
      <c r="AG105" s="15">
        <f>VLOOKUP(D105,'Obs Conc %CV_2'!$C$23:$Q$78,15,FALSE)</f>
        <v>0</v>
      </c>
    </row>
    <row r="106" spans="1:33" x14ac:dyDescent="0.2">
      <c r="A106" s="2" t="s">
        <v>3</v>
      </c>
      <c r="B106" s="3" t="s">
        <v>2</v>
      </c>
      <c r="C106" s="2" t="s">
        <v>10</v>
      </c>
      <c r="D106" s="6" t="s">
        <v>224</v>
      </c>
      <c r="E106" s="12" t="s">
        <v>0</v>
      </c>
      <c r="F106" s="14" t="str">
        <f>VLOOKUP(D106,'Obs Conc_2'!$C$23:$Q$78,2,FALSE)</f>
        <v>OOR &lt;</v>
      </c>
      <c r="G106" s="15">
        <f>VLOOKUP(D106,'Obs Conc %CV_2'!$C$23:$Q$78,2,FALSE)</f>
        <v>0</v>
      </c>
      <c r="H106" s="14" t="str">
        <f>VLOOKUP(F106,'Obs Conc_2'!$E$23:$S$78,3,FALSE)</f>
        <v>OOR &lt;</v>
      </c>
      <c r="I106" s="15">
        <f>VLOOKUP(D106,'Obs Conc %CV_2'!$C$23:$Q$78,3,FALSE)</f>
        <v>0</v>
      </c>
      <c r="J106" s="14" t="str">
        <f>VLOOKUP(D106,'Obs Conc_2'!$C$23:$Q$78,4,FALSE)</f>
        <v>OOR &lt;</v>
      </c>
      <c r="K106" s="15">
        <f>VLOOKUP(D106,'Obs Conc %CV_2'!$C$23:$Q$78,4,FALSE)</f>
        <v>0</v>
      </c>
      <c r="L106" s="14" t="str">
        <f>VLOOKUP(D106,'Obs Conc_2'!$C$23:$Q$78,5,FALSE)</f>
        <v>OOR &lt;</v>
      </c>
      <c r="M106" s="15">
        <f>VLOOKUP(D106,'Obs Conc %CV_2'!$C$23:$Q$78,5,FALSE)</f>
        <v>0</v>
      </c>
      <c r="N106" s="14" t="str">
        <f>VLOOKUP(D106,'Obs Conc_2'!$C$23:$Q$78,6,FALSE)</f>
        <v>OOR &lt;</v>
      </c>
      <c r="O106" s="15">
        <f>VLOOKUP(D106,'Obs Conc %CV_2'!$C$23:$Q$78,6,FALSE)</f>
        <v>0</v>
      </c>
      <c r="P106" s="14">
        <f>VLOOKUP(D106,'Obs Conc_2'!$C$23:$Q$78,7,FALSE)</f>
        <v>12.76</v>
      </c>
      <c r="Q106" s="15">
        <f>VLOOKUP(D106,'Obs Conc %CV_2'!$C$23:$Q$78,7,FALSE)</f>
        <v>67.83</v>
      </c>
      <c r="R106" s="14" t="str">
        <f>VLOOKUP(D106,'Obs Conc_2'!$C$23:$Q$78,8,FALSE)</f>
        <v>*1.20</v>
      </c>
      <c r="S106" s="15">
        <f>VLOOKUP(D106,'Obs Conc %CV_2'!$C$23:$Q$78,8,FALSE)</f>
        <v>0</v>
      </c>
      <c r="T106" s="14" t="str">
        <f>VLOOKUP(D106,'Obs Conc_2'!$C$23:$Q$78,9,FALSE)</f>
        <v>OOR &lt;</v>
      </c>
      <c r="U106" s="15">
        <f>VLOOKUP(D106,'Obs Conc %CV_2'!$C$23:$Q$78,9,FALSE)</f>
        <v>0</v>
      </c>
      <c r="V106" s="14">
        <f>VLOOKUP(D106,'Obs Conc_2'!$C$23:$Q$78,10,FALSE)</f>
        <v>305.97000000000003</v>
      </c>
      <c r="W106" s="15">
        <f>VLOOKUP(D106,'Obs Conc %CV_2'!$C$23:$Q$78,10,FALSE)</f>
        <v>16.39</v>
      </c>
      <c r="X106" s="14" t="str">
        <f>VLOOKUP(D106,'Obs Conc_2'!$C$23:$Q$78,11,FALSE)</f>
        <v>OOR &lt;</v>
      </c>
      <c r="Y106" s="15">
        <f>VLOOKUP(D106,'Obs Conc %CV_2'!$C$23:$Q$78,11,FALSE)</f>
        <v>0</v>
      </c>
      <c r="Z106" s="14" t="str">
        <f>VLOOKUP(D106,'Obs Conc_2'!$C$23:$Q$78,12,FALSE)</f>
        <v>OOR &lt;</v>
      </c>
      <c r="AA106" s="15">
        <f>VLOOKUP(D106,'Obs Conc %CV_2'!$C$23:$Q$78,12,FALSE)</f>
        <v>0</v>
      </c>
      <c r="AB106" s="14" t="str">
        <f>VLOOKUP(D106,'Obs Conc_2'!$C$23:$Q$78,13,FALSE)</f>
        <v>OOR &lt;</v>
      </c>
      <c r="AC106" s="15">
        <f>VLOOKUP(D106,'Obs Conc %CV_2'!$C$23:$Q$78,13,FALSE)</f>
        <v>0</v>
      </c>
      <c r="AD106" s="14" t="str">
        <f>VLOOKUP(D106,'Obs Conc_2'!$C$23:$Q$78,14,FALSE)</f>
        <v>OOR &lt;</v>
      </c>
      <c r="AE106" s="15">
        <f>VLOOKUP(D106,'Obs Conc %CV_2'!$C$23:$Q$78,14,FALSE)</f>
        <v>0</v>
      </c>
      <c r="AF106" s="14" t="str">
        <f>VLOOKUP(D106,'Obs Conc_2'!$C$23:$Q$78,15,FALSE)</f>
        <v>OOR &lt;</v>
      </c>
      <c r="AG106" s="15">
        <f>VLOOKUP(D106,'Obs Conc %CV_2'!$C$23:$Q$78,15,FALSE)</f>
        <v>0</v>
      </c>
    </row>
    <row r="107" spans="1:33" x14ac:dyDescent="0.2">
      <c r="A107" s="2" t="s">
        <v>3</v>
      </c>
      <c r="B107" s="3" t="s">
        <v>2</v>
      </c>
      <c r="C107" s="2" t="s">
        <v>9</v>
      </c>
      <c r="D107" s="6" t="s">
        <v>225</v>
      </c>
      <c r="E107" s="12" t="s">
        <v>0</v>
      </c>
      <c r="F107" s="14" t="str">
        <f>VLOOKUP(D107,'Obs Conc_2'!$C$23:$Q$78,2,FALSE)</f>
        <v>OOR &lt;</v>
      </c>
      <c r="G107" s="15">
        <f>VLOOKUP(D107,'Obs Conc %CV_2'!$C$23:$Q$78,2,FALSE)</f>
        <v>0</v>
      </c>
      <c r="H107" s="14" t="str">
        <f>VLOOKUP(F107,'Obs Conc_2'!$E$23:$S$78,3,FALSE)</f>
        <v>OOR &lt;</v>
      </c>
      <c r="I107" s="15">
        <f>VLOOKUP(D107,'Obs Conc %CV_2'!$C$23:$Q$78,3,FALSE)</f>
        <v>0</v>
      </c>
      <c r="J107" s="14" t="str">
        <f>VLOOKUP(D107,'Obs Conc_2'!$C$23:$Q$78,4,FALSE)</f>
        <v>OOR &lt;</v>
      </c>
      <c r="K107" s="15">
        <f>VLOOKUP(D107,'Obs Conc %CV_2'!$C$23:$Q$78,4,FALSE)</f>
        <v>0</v>
      </c>
      <c r="L107" s="14" t="str">
        <f>VLOOKUP(D107,'Obs Conc_2'!$C$23:$Q$78,5,FALSE)</f>
        <v>OOR &lt;</v>
      </c>
      <c r="M107" s="15">
        <f>VLOOKUP(D107,'Obs Conc %CV_2'!$C$23:$Q$78,5,FALSE)</f>
        <v>0</v>
      </c>
      <c r="N107" s="14" t="str">
        <f>VLOOKUP(D107,'Obs Conc_2'!$C$23:$Q$78,6,FALSE)</f>
        <v>OOR &lt;</v>
      </c>
      <c r="O107" s="15">
        <f>VLOOKUP(D107,'Obs Conc %CV_2'!$C$23:$Q$78,6,FALSE)</f>
        <v>0</v>
      </c>
      <c r="P107" s="14">
        <f>VLOOKUP(D107,'Obs Conc_2'!$C$23:$Q$78,7,FALSE)</f>
        <v>377.93</v>
      </c>
      <c r="Q107" s="15">
        <f>VLOOKUP(D107,'Obs Conc %CV_2'!$C$23:$Q$78,7,FALSE)</f>
        <v>1.78</v>
      </c>
      <c r="R107" s="14">
        <f>VLOOKUP(D107,'Obs Conc_2'!$C$23:$Q$78,8,FALSE)</f>
        <v>244.7</v>
      </c>
      <c r="S107" s="15">
        <f>VLOOKUP(D107,'Obs Conc %CV_2'!$C$23:$Q$78,8,FALSE)</f>
        <v>8.51</v>
      </c>
      <c r="T107" s="14">
        <f>VLOOKUP(D107,'Obs Conc_2'!$C$23:$Q$78,9,FALSE)</f>
        <v>27.02</v>
      </c>
      <c r="U107" s="15">
        <f>VLOOKUP(D107,'Obs Conc %CV_2'!$C$23:$Q$78,9,FALSE)</f>
        <v>8.93</v>
      </c>
      <c r="V107" s="14">
        <f>VLOOKUP(D107,'Obs Conc_2'!$C$23:$Q$78,10,FALSE)</f>
        <v>604.32000000000005</v>
      </c>
      <c r="W107" s="15">
        <f>VLOOKUP(D107,'Obs Conc %CV_2'!$C$23:$Q$78,10,FALSE)</f>
        <v>15.57</v>
      </c>
      <c r="X107" s="14" t="str">
        <f>VLOOKUP(D107,'Obs Conc_2'!$C$23:$Q$78,11,FALSE)</f>
        <v>OOR &lt;</v>
      </c>
      <c r="Y107" s="15">
        <f>VLOOKUP(D107,'Obs Conc %CV_2'!$C$23:$Q$78,11,FALSE)</f>
        <v>0</v>
      </c>
      <c r="Z107" s="14" t="str">
        <f>VLOOKUP(D107,'Obs Conc_2'!$C$23:$Q$78,12,FALSE)</f>
        <v>OOR &lt;</v>
      </c>
      <c r="AA107" s="15">
        <f>VLOOKUP(D107,'Obs Conc %CV_2'!$C$23:$Q$78,12,FALSE)</f>
        <v>0</v>
      </c>
      <c r="AB107" s="14" t="str">
        <f>VLOOKUP(D107,'Obs Conc_2'!$C$23:$Q$78,13,FALSE)</f>
        <v>OOR &lt;</v>
      </c>
      <c r="AC107" s="15">
        <f>VLOOKUP(D107,'Obs Conc %CV_2'!$C$23:$Q$78,13,FALSE)</f>
        <v>0</v>
      </c>
      <c r="AD107" s="14" t="str">
        <f>VLOOKUP(D107,'Obs Conc_2'!$C$23:$Q$78,14,FALSE)</f>
        <v>OOR &lt;</v>
      </c>
      <c r="AE107" s="15">
        <f>VLOOKUP(D107,'Obs Conc %CV_2'!$C$23:$Q$78,14,FALSE)</f>
        <v>0</v>
      </c>
      <c r="AF107" s="14" t="str">
        <f>VLOOKUP(D107,'Obs Conc_2'!$C$23:$Q$78,15,FALSE)</f>
        <v>OOR &lt;</v>
      </c>
      <c r="AG107" s="15">
        <f>VLOOKUP(D107,'Obs Conc %CV_2'!$C$23:$Q$78,15,FALSE)</f>
        <v>0</v>
      </c>
    </row>
    <row r="108" spans="1:33" x14ac:dyDescent="0.2">
      <c r="A108" s="2" t="s">
        <v>3</v>
      </c>
      <c r="B108" s="3" t="s">
        <v>2</v>
      </c>
      <c r="C108" s="2" t="s">
        <v>8</v>
      </c>
      <c r="D108" s="6" t="s">
        <v>226</v>
      </c>
      <c r="E108" s="12" t="s">
        <v>0</v>
      </c>
      <c r="F108" s="14" t="str">
        <f>VLOOKUP(D108,'Obs Conc_2'!$C$23:$Q$78,2,FALSE)</f>
        <v>OOR &lt;</v>
      </c>
      <c r="G108" s="15">
        <f>VLOOKUP(D108,'Obs Conc %CV_2'!$C$23:$Q$78,2,FALSE)</f>
        <v>0</v>
      </c>
      <c r="H108" s="14" t="str">
        <f>VLOOKUP(F108,'Obs Conc_2'!$E$23:$S$78,3,FALSE)</f>
        <v>OOR &lt;</v>
      </c>
      <c r="I108" s="15">
        <f>VLOOKUP(D108,'Obs Conc %CV_2'!$C$23:$Q$78,3,FALSE)</f>
        <v>0</v>
      </c>
      <c r="J108" s="14" t="str">
        <f>VLOOKUP(D108,'Obs Conc_2'!$C$23:$Q$78,4,FALSE)</f>
        <v>OOR &lt;</v>
      </c>
      <c r="K108" s="15">
        <f>VLOOKUP(D108,'Obs Conc %CV_2'!$C$23:$Q$78,4,FALSE)</f>
        <v>0</v>
      </c>
      <c r="L108" s="14" t="str">
        <f>VLOOKUP(D108,'Obs Conc_2'!$C$23:$Q$78,5,FALSE)</f>
        <v>OOR &lt;</v>
      </c>
      <c r="M108" s="15">
        <f>VLOOKUP(D108,'Obs Conc %CV_2'!$C$23:$Q$78,5,FALSE)</f>
        <v>0</v>
      </c>
      <c r="N108" s="14" t="str">
        <f>VLOOKUP(D108,'Obs Conc_2'!$C$23:$Q$78,6,FALSE)</f>
        <v>OOR &lt;</v>
      </c>
      <c r="O108" s="15">
        <f>VLOOKUP(D108,'Obs Conc %CV_2'!$C$23:$Q$78,6,FALSE)</f>
        <v>0</v>
      </c>
      <c r="P108" s="14">
        <f>VLOOKUP(D108,'Obs Conc_2'!$C$23:$Q$78,7,FALSE)</f>
        <v>42.97</v>
      </c>
      <c r="Q108" s="15">
        <f>VLOOKUP(D108,'Obs Conc %CV_2'!$C$23:$Q$78,7,FALSE)</f>
        <v>29.45</v>
      </c>
      <c r="R108" s="14">
        <f>VLOOKUP(D108,'Obs Conc_2'!$C$23:$Q$78,8,FALSE)</f>
        <v>24.07</v>
      </c>
      <c r="S108" s="15">
        <f>VLOOKUP(D108,'Obs Conc %CV_2'!$C$23:$Q$78,8,FALSE)</f>
        <v>9.41</v>
      </c>
      <c r="T108" s="14">
        <f>VLOOKUP(D108,'Obs Conc_2'!$C$23:$Q$78,9,FALSE)</f>
        <v>21.48</v>
      </c>
      <c r="U108" s="15">
        <f>VLOOKUP(D108,'Obs Conc %CV_2'!$C$23:$Q$78,9,FALSE)</f>
        <v>13.24</v>
      </c>
      <c r="V108" s="14">
        <f>VLOOKUP(D108,'Obs Conc_2'!$C$23:$Q$78,10,FALSE)</f>
        <v>644.04999999999995</v>
      </c>
      <c r="W108" s="15">
        <f>VLOOKUP(D108,'Obs Conc %CV_2'!$C$23:$Q$78,10,FALSE)</f>
        <v>14.05</v>
      </c>
      <c r="X108" s="14" t="str">
        <f>VLOOKUP(D108,'Obs Conc_2'!$C$23:$Q$78,11,FALSE)</f>
        <v>OOR &lt;</v>
      </c>
      <c r="Y108" s="15">
        <f>VLOOKUP(D108,'Obs Conc %CV_2'!$C$23:$Q$78,11,FALSE)</f>
        <v>0</v>
      </c>
      <c r="Z108" s="14" t="str">
        <f>VLOOKUP(D108,'Obs Conc_2'!$C$23:$Q$78,12,FALSE)</f>
        <v>OOR &lt;</v>
      </c>
      <c r="AA108" s="15">
        <f>VLOOKUP(D108,'Obs Conc %CV_2'!$C$23:$Q$78,12,FALSE)</f>
        <v>0</v>
      </c>
      <c r="AB108" s="14" t="str">
        <f>VLOOKUP(D108,'Obs Conc_2'!$C$23:$Q$78,13,FALSE)</f>
        <v>OOR &lt;</v>
      </c>
      <c r="AC108" s="15">
        <f>VLOOKUP(D108,'Obs Conc %CV_2'!$C$23:$Q$78,13,FALSE)</f>
        <v>0</v>
      </c>
      <c r="AD108" s="14" t="str">
        <f>VLOOKUP(D108,'Obs Conc_2'!$C$23:$Q$78,14,FALSE)</f>
        <v>OOR &lt;</v>
      </c>
      <c r="AE108" s="15">
        <f>VLOOKUP(D108,'Obs Conc %CV_2'!$C$23:$Q$78,14,FALSE)</f>
        <v>0</v>
      </c>
      <c r="AF108" s="14" t="str">
        <f>VLOOKUP(D108,'Obs Conc_2'!$C$23:$Q$78,15,FALSE)</f>
        <v>OOR &lt;</v>
      </c>
      <c r="AG108" s="15">
        <f>VLOOKUP(D108,'Obs Conc %CV_2'!$C$23:$Q$78,15,FALSE)</f>
        <v>0</v>
      </c>
    </row>
    <row r="109" spans="1:33" x14ac:dyDescent="0.2">
      <c r="A109" s="2" t="s">
        <v>3</v>
      </c>
      <c r="B109" s="3" t="s">
        <v>2</v>
      </c>
      <c r="C109" s="2" t="s">
        <v>7</v>
      </c>
      <c r="D109" s="6" t="s">
        <v>227</v>
      </c>
      <c r="E109" s="12" t="s">
        <v>0</v>
      </c>
      <c r="F109" s="14" t="str">
        <f>VLOOKUP(D109,'Obs Conc_2'!$C$23:$Q$78,2,FALSE)</f>
        <v>OOR &lt;</v>
      </c>
      <c r="G109" s="15">
        <f>VLOOKUP(D109,'Obs Conc %CV_2'!$C$23:$Q$78,2,FALSE)</f>
        <v>0</v>
      </c>
      <c r="H109" s="14" t="str">
        <f>VLOOKUP(F109,'Obs Conc_2'!$E$23:$S$78,3,FALSE)</f>
        <v>OOR &lt;</v>
      </c>
      <c r="I109" s="15">
        <f>VLOOKUP(D109,'Obs Conc %CV_2'!$C$23:$Q$78,3,FALSE)</f>
        <v>0</v>
      </c>
      <c r="J109" s="14" t="str">
        <f>VLOOKUP(D109,'Obs Conc_2'!$C$23:$Q$78,4,FALSE)</f>
        <v>OOR &lt;</v>
      </c>
      <c r="K109" s="15">
        <f>VLOOKUP(D109,'Obs Conc %CV_2'!$C$23:$Q$78,4,FALSE)</f>
        <v>0</v>
      </c>
      <c r="L109" s="14" t="str">
        <f>VLOOKUP(D109,'Obs Conc_2'!$C$23:$Q$78,5,FALSE)</f>
        <v>OOR &lt;</v>
      </c>
      <c r="M109" s="15">
        <f>VLOOKUP(D109,'Obs Conc %CV_2'!$C$23:$Q$78,5,FALSE)</f>
        <v>0</v>
      </c>
      <c r="N109" s="14" t="str">
        <f>VLOOKUP(D109,'Obs Conc_2'!$C$23:$Q$78,6,FALSE)</f>
        <v>OOR &lt;</v>
      </c>
      <c r="O109" s="15">
        <f>VLOOKUP(D109,'Obs Conc %CV_2'!$C$23:$Q$78,6,FALSE)</f>
        <v>0</v>
      </c>
      <c r="P109" s="14">
        <f>VLOOKUP(D109,'Obs Conc_2'!$C$23:$Q$78,7,FALSE)</f>
        <v>189.85</v>
      </c>
      <c r="Q109" s="15">
        <f>VLOOKUP(D109,'Obs Conc %CV_2'!$C$23:$Q$78,7,FALSE)</f>
        <v>7.07</v>
      </c>
      <c r="R109" s="14">
        <f>VLOOKUP(D109,'Obs Conc_2'!$C$23:$Q$78,8,FALSE)</f>
        <v>13.37</v>
      </c>
      <c r="S109" s="15">
        <f>VLOOKUP(D109,'Obs Conc %CV_2'!$C$23:$Q$78,8,FALSE)</f>
        <v>18.38</v>
      </c>
      <c r="T109" s="14">
        <f>VLOOKUP(D109,'Obs Conc_2'!$C$23:$Q$78,9,FALSE)</f>
        <v>3.88</v>
      </c>
      <c r="U109" s="15">
        <f>VLOOKUP(D109,'Obs Conc %CV_2'!$C$23:$Q$78,9,FALSE)</f>
        <v>31.31</v>
      </c>
      <c r="V109" s="14">
        <f>VLOOKUP(D109,'Obs Conc_2'!$C$23:$Q$78,10,FALSE)</f>
        <v>541.73</v>
      </c>
      <c r="W109" s="15">
        <f>VLOOKUP(D109,'Obs Conc %CV_2'!$C$23:$Q$78,10,FALSE)</f>
        <v>1.72</v>
      </c>
      <c r="X109" s="14" t="str">
        <f>VLOOKUP(D109,'Obs Conc_2'!$C$23:$Q$78,11,FALSE)</f>
        <v>OOR &lt;</v>
      </c>
      <c r="Y109" s="15">
        <f>VLOOKUP(D109,'Obs Conc %CV_2'!$C$23:$Q$78,11,FALSE)</f>
        <v>0</v>
      </c>
      <c r="Z109" s="14" t="str">
        <f>VLOOKUP(D109,'Obs Conc_2'!$C$23:$Q$78,12,FALSE)</f>
        <v>OOR &lt;</v>
      </c>
      <c r="AA109" s="15">
        <f>VLOOKUP(D109,'Obs Conc %CV_2'!$C$23:$Q$78,12,FALSE)</f>
        <v>0</v>
      </c>
      <c r="AB109" s="14" t="str">
        <f>VLOOKUP(D109,'Obs Conc_2'!$C$23:$Q$78,13,FALSE)</f>
        <v>OOR &lt;</v>
      </c>
      <c r="AC109" s="15">
        <f>VLOOKUP(D109,'Obs Conc %CV_2'!$C$23:$Q$78,13,FALSE)</f>
        <v>0</v>
      </c>
      <c r="AD109" s="14" t="str">
        <f>VLOOKUP(D109,'Obs Conc_2'!$C$23:$Q$78,14,FALSE)</f>
        <v>OOR &lt;</v>
      </c>
      <c r="AE109" s="15">
        <f>VLOOKUP(D109,'Obs Conc %CV_2'!$C$23:$Q$78,14,FALSE)</f>
        <v>0</v>
      </c>
      <c r="AF109" s="14" t="str">
        <f>VLOOKUP(D109,'Obs Conc_2'!$C$23:$Q$78,15,FALSE)</f>
        <v>OOR &lt;</v>
      </c>
      <c r="AG109" s="15">
        <f>VLOOKUP(D109,'Obs Conc %CV_2'!$C$23:$Q$78,15,FALSE)</f>
        <v>0</v>
      </c>
    </row>
    <row r="110" spans="1:33" x14ac:dyDescent="0.2">
      <c r="A110" s="2" t="s">
        <v>3</v>
      </c>
      <c r="B110" s="3" t="s">
        <v>2</v>
      </c>
      <c r="C110" s="2" t="s">
        <v>6</v>
      </c>
      <c r="D110" s="6" t="s">
        <v>228</v>
      </c>
      <c r="E110" s="12" t="s">
        <v>0</v>
      </c>
      <c r="F110" s="14" t="str">
        <f>VLOOKUP(D110,'Obs Conc_2'!$C$23:$Q$78,2,FALSE)</f>
        <v>OOR &lt;</v>
      </c>
      <c r="G110" s="15">
        <f>VLOOKUP(D110,'Obs Conc %CV_2'!$C$23:$Q$78,2,FALSE)</f>
        <v>0</v>
      </c>
      <c r="H110" s="14" t="str">
        <f>VLOOKUP(F110,'Obs Conc_2'!$E$23:$S$78,3,FALSE)</f>
        <v>OOR &lt;</v>
      </c>
      <c r="I110" s="15">
        <f>VLOOKUP(D110,'Obs Conc %CV_2'!$C$23:$Q$78,3,FALSE)</f>
        <v>0</v>
      </c>
      <c r="J110" s="14" t="str">
        <f>VLOOKUP(D110,'Obs Conc_2'!$C$23:$Q$78,4,FALSE)</f>
        <v>OOR &lt;</v>
      </c>
      <c r="K110" s="15">
        <f>VLOOKUP(D110,'Obs Conc %CV_2'!$C$23:$Q$78,4,FALSE)</f>
        <v>0</v>
      </c>
      <c r="L110" s="14" t="str">
        <f>VLOOKUP(D110,'Obs Conc_2'!$C$23:$Q$78,5,FALSE)</f>
        <v>OOR &lt;</v>
      </c>
      <c r="M110" s="15">
        <f>VLOOKUP(D110,'Obs Conc %CV_2'!$C$23:$Q$78,5,FALSE)</f>
        <v>0</v>
      </c>
      <c r="N110" s="14" t="str">
        <f>VLOOKUP(D110,'Obs Conc_2'!$C$23:$Q$78,6,FALSE)</f>
        <v>OOR &lt;</v>
      </c>
      <c r="O110" s="15">
        <f>VLOOKUP(D110,'Obs Conc %CV_2'!$C$23:$Q$78,6,FALSE)</f>
        <v>0</v>
      </c>
      <c r="P110" s="14" t="str">
        <f>VLOOKUP(D110,'Obs Conc_2'!$C$23:$Q$78,7,FALSE)</f>
        <v>*3.07</v>
      </c>
      <c r="Q110" s="15">
        <f>VLOOKUP(D110,'Obs Conc %CV_2'!$C$23:$Q$78,7,FALSE)</f>
        <v>137.51</v>
      </c>
      <c r="R110" s="14" t="str">
        <f>VLOOKUP(D110,'Obs Conc_2'!$C$23:$Q$78,8,FALSE)</f>
        <v>OOR &lt;</v>
      </c>
      <c r="S110" s="15">
        <f>VLOOKUP(D110,'Obs Conc %CV_2'!$C$23:$Q$78,8,FALSE)</f>
        <v>0</v>
      </c>
      <c r="T110" s="14" t="str">
        <f>VLOOKUP(D110,'Obs Conc_2'!$C$23:$Q$78,9,FALSE)</f>
        <v>OOR &lt;</v>
      </c>
      <c r="U110" s="15">
        <f>VLOOKUP(D110,'Obs Conc %CV_2'!$C$23:$Q$78,9,FALSE)</f>
        <v>0</v>
      </c>
      <c r="V110" s="14">
        <f>VLOOKUP(D110,'Obs Conc_2'!$C$23:$Q$78,10,FALSE)</f>
        <v>247.04</v>
      </c>
      <c r="W110" s="15">
        <f>VLOOKUP(D110,'Obs Conc %CV_2'!$C$23:$Q$78,10,FALSE)</f>
        <v>4.66</v>
      </c>
      <c r="X110" s="14" t="str">
        <f>VLOOKUP(D110,'Obs Conc_2'!$C$23:$Q$78,11,FALSE)</f>
        <v>OOR &lt;</v>
      </c>
      <c r="Y110" s="15">
        <f>VLOOKUP(D110,'Obs Conc %CV_2'!$C$23:$Q$78,11,FALSE)</f>
        <v>0</v>
      </c>
      <c r="Z110" s="14" t="str">
        <f>VLOOKUP(D110,'Obs Conc_2'!$C$23:$Q$78,12,FALSE)</f>
        <v>OOR &lt;</v>
      </c>
      <c r="AA110" s="15">
        <f>VLOOKUP(D110,'Obs Conc %CV_2'!$C$23:$Q$78,12,FALSE)</f>
        <v>0</v>
      </c>
      <c r="AB110" s="14" t="str">
        <f>VLOOKUP(D110,'Obs Conc_2'!$C$23:$Q$78,13,FALSE)</f>
        <v>OOR &lt;</v>
      </c>
      <c r="AC110" s="15">
        <f>VLOOKUP(D110,'Obs Conc %CV_2'!$C$23:$Q$78,13,FALSE)</f>
        <v>0</v>
      </c>
      <c r="AD110" s="14" t="str">
        <f>VLOOKUP(D110,'Obs Conc_2'!$C$23:$Q$78,14,FALSE)</f>
        <v>OOR &lt;</v>
      </c>
      <c r="AE110" s="15">
        <f>VLOOKUP(D110,'Obs Conc %CV_2'!$C$23:$Q$78,14,FALSE)</f>
        <v>0</v>
      </c>
      <c r="AF110" s="14" t="str">
        <f>VLOOKUP(D110,'Obs Conc_2'!$C$23:$Q$78,15,FALSE)</f>
        <v>OOR &lt;</v>
      </c>
      <c r="AG110" s="15">
        <f>VLOOKUP(D110,'Obs Conc %CV_2'!$C$23:$Q$78,15,FALSE)</f>
        <v>0</v>
      </c>
    </row>
    <row r="111" spans="1:33" x14ac:dyDescent="0.2">
      <c r="A111" s="2" t="s">
        <v>3</v>
      </c>
      <c r="B111" s="3" t="s">
        <v>2</v>
      </c>
      <c r="C111" s="2" t="s">
        <v>5</v>
      </c>
      <c r="D111" s="6" t="s">
        <v>229</v>
      </c>
      <c r="E111" s="12" t="s">
        <v>0</v>
      </c>
      <c r="F111" s="14" t="str">
        <f>VLOOKUP(D111,'Obs Conc_2'!$C$23:$Q$78,2,FALSE)</f>
        <v>OOR &lt;</v>
      </c>
      <c r="G111" s="15">
        <f>VLOOKUP(D111,'Obs Conc %CV_2'!$C$23:$Q$78,2,FALSE)</f>
        <v>0</v>
      </c>
      <c r="H111" s="14" t="str">
        <f>VLOOKUP(F111,'Obs Conc_2'!$E$23:$S$78,3,FALSE)</f>
        <v>OOR &lt;</v>
      </c>
      <c r="I111" s="15">
        <f>VLOOKUP(D111,'Obs Conc %CV_2'!$C$23:$Q$78,3,FALSE)</f>
        <v>0</v>
      </c>
      <c r="J111" s="14" t="str">
        <f>VLOOKUP(D111,'Obs Conc_2'!$C$23:$Q$78,4,FALSE)</f>
        <v>OOR &lt;</v>
      </c>
      <c r="K111" s="15">
        <f>VLOOKUP(D111,'Obs Conc %CV_2'!$C$23:$Q$78,4,FALSE)</f>
        <v>0</v>
      </c>
      <c r="L111" s="14" t="str">
        <f>VLOOKUP(D111,'Obs Conc_2'!$C$23:$Q$78,5,FALSE)</f>
        <v>OOR &lt;</v>
      </c>
      <c r="M111" s="15">
        <f>VLOOKUP(D111,'Obs Conc %CV_2'!$C$23:$Q$78,5,FALSE)</f>
        <v>0</v>
      </c>
      <c r="N111" s="14" t="str">
        <f>VLOOKUP(D111,'Obs Conc_2'!$C$23:$Q$78,6,FALSE)</f>
        <v>OOR &lt;</v>
      </c>
      <c r="O111" s="15">
        <f>VLOOKUP(D111,'Obs Conc %CV_2'!$C$23:$Q$78,6,FALSE)</f>
        <v>0</v>
      </c>
      <c r="P111" s="14" t="str">
        <f>VLOOKUP(D111,'Obs Conc_2'!$C$23:$Q$78,7,FALSE)</f>
        <v>OOR &lt;</v>
      </c>
      <c r="Q111" s="15">
        <f>VLOOKUP(D111,'Obs Conc %CV_2'!$C$23:$Q$78,7,FALSE)</f>
        <v>0</v>
      </c>
      <c r="R111" s="14" t="str">
        <f>VLOOKUP(D111,'Obs Conc_2'!$C$23:$Q$78,8,FALSE)</f>
        <v>OOR &lt;</v>
      </c>
      <c r="S111" s="15">
        <f>VLOOKUP(D111,'Obs Conc %CV_2'!$C$23:$Q$78,8,FALSE)</f>
        <v>0</v>
      </c>
      <c r="T111" s="14" t="str">
        <f>VLOOKUP(D111,'Obs Conc_2'!$C$23:$Q$78,9,FALSE)</f>
        <v>OOR &lt;</v>
      </c>
      <c r="U111" s="15">
        <f>VLOOKUP(D111,'Obs Conc %CV_2'!$C$23:$Q$78,9,FALSE)</f>
        <v>0</v>
      </c>
      <c r="V111" s="14">
        <f>VLOOKUP(D111,'Obs Conc_2'!$C$23:$Q$78,10,FALSE)</f>
        <v>776.11</v>
      </c>
      <c r="W111" s="15">
        <f>VLOOKUP(D111,'Obs Conc %CV_2'!$C$23:$Q$78,10,FALSE)</f>
        <v>8.89</v>
      </c>
      <c r="X111" s="14" t="str">
        <f>VLOOKUP(D111,'Obs Conc_2'!$C$23:$Q$78,11,FALSE)</f>
        <v>OOR &lt;</v>
      </c>
      <c r="Y111" s="15">
        <f>VLOOKUP(D111,'Obs Conc %CV_2'!$C$23:$Q$78,11,FALSE)</f>
        <v>0</v>
      </c>
      <c r="Z111" s="14" t="str">
        <f>VLOOKUP(D111,'Obs Conc_2'!$C$23:$Q$78,12,FALSE)</f>
        <v>OOR &lt;</v>
      </c>
      <c r="AA111" s="15">
        <f>VLOOKUP(D111,'Obs Conc %CV_2'!$C$23:$Q$78,12,FALSE)</f>
        <v>0</v>
      </c>
      <c r="AB111" s="14" t="str">
        <f>VLOOKUP(D111,'Obs Conc_2'!$C$23:$Q$78,13,FALSE)</f>
        <v>OOR &lt;</v>
      </c>
      <c r="AC111" s="15">
        <f>VLOOKUP(D111,'Obs Conc %CV_2'!$C$23:$Q$78,13,FALSE)</f>
        <v>0</v>
      </c>
      <c r="AD111" s="14" t="str">
        <f>VLOOKUP(D111,'Obs Conc_2'!$C$23:$Q$78,14,FALSE)</f>
        <v>OOR &lt;</v>
      </c>
      <c r="AE111" s="15">
        <f>VLOOKUP(D111,'Obs Conc %CV_2'!$C$23:$Q$78,14,FALSE)</f>
        <v>0</v>
      </c>
      <c r="AF111" s="14" t="str">
        <f>VLOOKUP(D111,'Obs Conc_2'!$C$23:$Q$78,15,FALSE)</f>
        <v>OOR &lt;</v>
      </c>
      <c r="AG111" s="15">
        <f>VLOOKUP(D111,'Obs Conc %CV_2'!$C$23:$Q$78,15,FALSE)</f>
        <v>0</v>
      </c>
    </row>
    <row r="112" spans="1:33" x14ac:dyDescent="0.2">
      <c r="A112" s="2" t="s">
        <v>3</v>
      </c>
      <c r="B112" s="3" t="s">
        <v>2</v>
      </c>
      <c r="C112" s="2" t="s">
        <v>4</v>
      </c>
      <c r="D112" s="6" t="s">
        <v>230</v>
      </c>
      <c r="E112" s="12" t="s">
        <v>0</v>
      </c>
      <c r="F112" s="14" t="str">
        <f>VLOOKUP(D112,'Obs Conc_2'!$C$23:$Q$78,2,FALSE)</f>
        <v>OOR &lt;</v>
      </c>
      <c r="G112" s="15">
        <f>VLOOKUP(D112,'Obs Conc %CV_2'!$C$23:$Q$78,2,FALSE)</f>
        <v>0</v>
      </c>
      <c r="H112" s="14" t="str">
        <f>VLOOKUP(F112,'Obs Conc_2'!$E$23:$S$78,3,FALSE)</f>
        <v>OOR &lt;</v>
      </c>
      <c r="I112" s="15">
        <f>VLOOKUP(D112,'Obs Conc %CV_2'!$C$23:$Q$78,3,FALSE)</f>
        <v>0</v>
      </c>
      <c r="J112" s="14" t="str">
        <f>VLOOKUP(D112,'Obs Conc_2'!$C$23:$Q$78,4,FALSE)</f>
        <v>OOR &lt;</v>
      </c>
      <c r="K112" s="15">
        <f>VLOOKUP(D112,'Obs Conc %CV_2'!$C$23:$Q$78,4,FALSE)</f>
        <v>0</v>
      </c>
      <c r="L112" s="14" t="str">
        <f>VLOOKUP(D112,'Obs Conc_2'!$C$23:$Q$78,5,FALSE)</f>
        <v>OOR &lt;</v>
      </c>
      <c r="M112" s="15">
        <f>VLOOKUP(D112,'Obs Conc %CV_2'!$C$23:$Q$78,5,FALSE)</f>
        <v>0</v>
      </c>
      <c r="N112" s="14" t="str">
        <f>VLOOKUP(D112,'Obs Conc_2'!$C$23:$Q$78,6,FALSE)</f>
        <v>OOR &lt;</v>
      </c>
      <c r="O112" s="15">
        <f>VLOOKUP(D112,'Obs Conc %CV_2'!$C$23:$Q$78,6,FALSE)</f>
        <v>0</v>
      </c>
      <c r="P112" s="14" t="str">
        <f>VLOOKUP(D112,'Obs Conc_2'!$C$23:$Q$78,7,FALSE)</f>
        <v>*0.08</v>
      </c>
      <c r="Q112" s="15">
        <f>VLOOKUP(D112,'Obs Conc %CV_2'!$C$23:$Q$78,7,FALSE)</f>
        <v>0</v>
      </c>
      <c r="R112" s="14" t="str">
        <f>VLOOKUP(D112,'Obs Conc_2'!$C$23:$Q$78,8,FALSE)</f>
        <v>OOR &lt;</v>
      </c>
      <c r="S112" s="15">
        <f>VLOOKUP(D112,'Obs Conc %CV_2'!$C$23:$Q$78,8,FALSE)</f>
        <v>0</v>
      </c>
      <c r="T112" s="14">
        <f>VLOOKUP(D112,'Obs Conc_2'!$C$23:$Q$78,9,FALSE)</f>
        <v>10.6</v>
      </c>
      <c r="U112" s="15">
        <f>VLOOKUP(D112,'Obs Conc %CV_2'!$C$23:$Q$78,9,FALSE)</f>
        <v>20.36</v>
      </c>
      <c r="V112" s="14">
        <f>VLOOKUP(D112,'Obs Conc_2'!$C$23:$Q$78,10,FALSE)</f>
        <v>279.93</v>
      </c>
      <c r="W112" s="15">
        <f>VLOOKUP(D112,'Obs Conc %CV_2'!$C$23:$Q$78,10,FALSE)</f>
        <v>17.29</v>
      </c>
      <c r="X112" s="14" t="str">
        <f>VLOOKUP(D112,'Obs Conc_2'!$C$23:$Q$78,11,FALSE)</f>
        <v>OOR &lt;</v>
      </c>
      <c r="Y112" s="15">
        <f>VLOOKUP(D112,'Obs Conc %CV_2'!$C$23:$Q$78,11,FALSE)</f>
        <v>0</v>
      </c>
      <c r="Z112" s="14" t="str">
        <f>VLOOKUP(D112,'Obs Conc_2'!$C$23:$Q$78,12,FALSE)</f>
        <v>OOR &lt;</v>
      </c>
      <c r="AA112" s="15">
        <f>VLOOKUP(D112,'Obs Conc %CV_2'!$C$23:$Q$78,12,FALSE)</f>
        <v>0</v>
      </c>
      <c r="AB112" s="14" t="str">
        <f>VLOOKUP(D112,'Obs Conc_2'!$C$23:$Q$78,13,FALSE)</f>
        <v>OOR &lt;</v>
      </c>
      <c r="AC112" s="15">
        <f>VLOOKUP(D112,'Obs Conc %CV_2'!$C$23:$Q$78,13,FALSE)</f>
        <v>0</v>
      </c>
      <c r="AD112" s="14" t="str">
        <f>VLOOKUP(D112,'Obs Conc_2'!$C$23:$Q$78,14,FALSE)</f>
        <v>OOR &lt;</v>
      </c>
      <c r="AE112" s="15">
        <f>VLOOKUP(D112,'Obs Conc %CV_2'!$C$23:$Q$78,14,FALSE)</f>
        <v>0</v>
      </c>
      <c r="AF112" s="14" t="str">
        <f>VLOOKUP(D112,'Obs Conc_2'!$C$23:$Q$78,15,FALSE)</f>
        <v>OOR &lt;</v>
      </c>
      <c r="AG112" s="15">
        <f>VLOOKUP(D112,'Obs Conc %CV_2'!$C$23:$Q$78,15,FALSE)</f>
        <v>0</v>
      </c>
    </row>
    <row r="113" spans="1:33" x14ac:dyDescent="0.2">
      <c r="A113" s="2" t="s">
        <v>3</v>
      </c>
      <c r="B113" s="3" t="s">
        <v>2</v>
      </c>
      <c r="C113" s="2" t="s">
        <v>1</v>
      </c>
      <c r="D113" s="6" t="s">
        <v>231</v>
      </c>
      <c r="E113" s="12" t="s">
        <v>0</v>
      </c>
      <c r="F113" s="14" t="str">
        <f>VLOOKUP(D113,'Obs Conc_2'!$C$23:$Q$78,2,FALSE)</f>
        <v>OOR &lt;</v>
      </c>
      <c r="G113" s="15">
        <f>VLOOKUP(D113,'Obs Conc %CV_2'!$C$23:$Q$78,2,FALSE)</f>
        <v>0</v>
      </c>
      <c r="H113" s="14" t="str">
        <f>VLOOKUP(F113,'Obs Conc_2'!$E$23:$S$78,3,FALSE)</f>
        <v>OOR &lt;</v>
      </c>
      <c r="I113" s="15">
        <f>VLOOKUP(D113,'Obs Conc %CV_2'!$C$23:$Q$78,3,FALSE)</f>
        <v>0</v>
      </c>
      <c r="J113" s="14" t="str">
        <f>VLOOKUP(D113,'Obs Conc_2'!$C$23:$Q$78,4,FALSE)</f>
        <v>OOR &lt;</v>
      </c>
      <c r="K113" s="15">
        <f>VLOOKUP(D113,'Obs Conc %CV_2'!$C$23:$Q$78,4,FALSE)</f>
        <v>0</v>
      </c>
      <c r="L113" s="14" t="str">
        <f>VLOOKUP(D113,'Obs Conc_2'!$C$23:$Q$78,5,FALSE)</f>
        <v>OOR &lt;</v>
      </c>
      <c r="M113" s="15">
        <f>VLOOKUP(D113,'Obs Conc %CV_2'!$C$23:$Q$78,5,FALSE)</f>
        <v>0</v>
      </c>
      <c r="N113" s="14" t="str">
        <f>VLOOKUP(D113,'Obs Conc_2'!$C$23:$Q$78,6,FALSE)</f>
        <v>OOR &lt;</v>
      </c>
      <c r="O113" s="15">
        <f>VLOOKUP(D113,'Obs Conc %CV_2'!$C$23:$Q$78,6,FALSE)</f>
        <v>0</v>
      </c>
      <c r="P113" s="14">
        <f>VLOOKUP(D113,'Obs Conc_2'!$C$23:$Q$78,7,FALSE)</f>
        <v>26.4</v>
      </c>
      <c r="Q113" s="15">
        <f>VLOOKUP(D113,'Obs Conc %CV_2'!$C$23:$Q$78,7,FALSE)</f>
        <v>49.88</v>
      </c>
      <c r="R113" s="14" t="str">
        <f>VLOOKUP(D113,'Obs Conc_2'!$C$23:$Q$78,8,FALSE)</f>
        <v>*1.37</v>
      </c>
      <c r="S113" s="15">
        <f>VLOOKUP(D113,'Obs Conc %CV_2'!$C$23:$Q$78,8,FALSE)</f>
        <v>0</v>
      </c>
      <c r="T113" s="14" t="str">
        <f>VLOOKUP(D113,'Obs Conc_2'!$C$23:$Q$78,9,FALSE)</f>
        <v>OOR &lt;</v>
      </c>
      <c r="U113" s="15">
        <f>VLOOKUP(D113,'Obs Conc %CV_2'!$C$23:$Q$78,9,FALSE)</f>
        <v>0</v>
      </c>
      <c r="V113" s="14">
        <f>VLOOKUP(D113,'Obs Conc_2'!$C$23:$Q$78,10,FALSE)</f>
        <v>237.93</v>
      </c>
      <c r="W113" s="15">
        <f>VLOOKUP(D113,'Obs Conc %CV_2'!$C$23:$Q$78,10,FALSE)</f>
        <v>25.17</v>
      </c>
      <c r="X113" s="14" t="str">
        <f>VLOOKUP(D113,'Obs Conc_2'!$C$23:$Q$78,11,FALSE)</f>
        <v>OOR &lt;</v>
      </c>
      <c r="Y113" s="15">
        <f>VLOOKUP(D113,'Obs Conc %CV_2'!$C$23:$Q$78,11,FALSE)</f>
        <v>0</v>
      </c>
      <c r="Z113" s="14" t="str">
        <f>VLOOKUP(D113,'Obs Conc_2'!$C$23:$Q$78,12,FALSE)</f>
        <v>OOR &lt;</v>
      </c>
      <c r="AA113" s="15">
        <f>VLOOKUP(D113,'Obs Conc %CV_2'!$C$23:$Q$78,12,FALSE)</f>
        <v>0</v>
      </c>
      <c r="AB113" s="14" t="str">
        <f>VLOOKUP(D113,'Obs Conc_2'!$C$23:$Q$78,13,FALSE)</f>
        <v>OOR &lt;</v>
      </c>
      <c r="AC113" s="15">
        <f>VLOOKUP(D113,'Obs Conc %CV_2'!$C$23:$Q$78,13,FALSE)</f>
        <v>0</v>
      </c>
      <c r="AD113" s="14" t="str">
        <f>VLOOKUP(D113,'Obs Conc_2'!$C$23:$Q$78,14,FALSE)</f>
        <v>OOR &lt;</v>
      </c>
      <c r="AE113" s="15">
        <f>VLOOKUP(D113,'Obs Conc %CV_2'!$C$23:$Q$78,14,FALSE)</f>
        <v>0</v>
      </c>
      <c r="AF113" s="14" t="str">
        <f>VLOOKUP(D113,'Obs Conc_2'!$C$23:$Q$78,15,FALSE)</f>
        <v>OOR &lt;</v>
      </c>
      <c r="AG113" s="15">
        <f>VLOOKUP(D113,'Obs Conc %CV_2'!$C$23:$Q$78,15,FALSE)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9A46-6F5A-4A44-8331-49FB90F57EFE}">
  <sheetPr>
    <tabColor rgb="FFFFC000"/>
  </sheetPr>
  <dimension ref="A1:AG116"/>
  <sheetViews>
    <sheetView tabSelected="1" workbookViewId="0">
      <pane xSplit="4" ySplit="1" topLeftCell="E81" activePane="bottomRight" state="frozenSplit"/>
      <selection pane="topRight" activeCell="O1" sqref="O1"/>
      <selection pane="bottomLeft" activeCell="A18" sqref="A18"/>
      <selection pane="bottomRight" activeCell="R126" sqref="R126"/>
    </sheetView>
  </sheetViews>
  <sheetFormatPr baseColWidth="10" defaultRowHeight="15" x14ac:dyDescent="0.2"/>
  <cols>
    <col min="2" max="2" width="7.5" style="1" customWidth="1"/>
    <col min="3" max="3" width="20.6640625" customWidth="1"/>
    <col min="4" max="4" width="6.33203125" customWidth="1"/>
    <col min="5" max="5" width="8" customWidth="1"/>
    <col min="6" max="17" width="7.83203125" style="8" customWidth="1"/>
    <col min="18" max="18" width="10.5" style="8" customWidth="1"/>
    <col min="19" max="23" width="7.83203125" style="8" customWidth="1"/>
    <col min="24" max="24" width="8.5" style="8" customWidth="1"/>
    <col min="25" max="25" width="7.83203125" style="8" customWidth="1"/>
    <col min="26" max="26" width="8.5" style="8" customWidth="1"/>
    <col min="27" max="32" width="7.83203125" style="8" customWidth="1"/>
  </cols>
  <sheetData>
    <row r="1" spans="1:33" ht="36" customHeight="1" thickBot="1" x14ac:dyDescent="0.25">
      <c r="A1" s="4" t="s">
        <v>119</v>
      </c>
      <c r="B1" s="5" t="s">
        <v>118</v>
      </c>
      <c r="C1" s="4" t="s">
        <v>117</v>
      </c>
      <c r="E1" s="9" t="s">
        <v>116</v>
      </c>
      <c r="F1" s="10" t="s">
        <v>526</v>
      </c>
      <c r="G1" s="11" t="s">
        <v>525</v>
      </c>
      <c r="H1" s="10" t="s">
        <v>527</v>
      </c>
      <c r="I1" s="11" t="s">
        <v>539</v>
      </c>
      <c r="J1" s="10" t="s">
        <v>528</v>
      </c>
      <c r="K1" s="11" t="s">
        <v>541</v>
      </c>
      <c r="L1" s="10" t="s">
        <v>529</v>
      </c>
      <c r="M1" s="11" t="s">
        <v>542</v>
      </c>
      <c r="N1" s="10" t="s">
        <v>530</v>
      </c>
      <c r="O1" s="11" t="s">
        <v>543</v>
      </c>
      <c r="P1" s="13" t="s">
        <v>531</v>
      </c>
      <c r="Q1" s="11" t="s">
        <v>544</v>
      </c>
      <c r="R1" s="10" t="s">
        <v>540</v>
      </c>
      <c r="S1" s="11" t="s">
        <v>545</v>
      </c>
      <c r="T1" s="10" t="s">
        <v>532</v>
      </c>
      <c r="U1" s="11" t="s">
        <v>546</v>
      </c>
      <c r="V1" s="10" t="s">
        <v>533</v>
      </c>
      <c r="W1" s="11" t="s">
        <v>547</v>
      </c>
      <c r="X1" s="10" t="s">
        <v>534</v>
      </c>
      <c r="Y1" s="11" t="s">
        <v>548</v>
      </c>
      <c r="Z1" s="10" t="s">
        <v>535</v>
      </c>
      <c r="AA1" s="11" t="s">
        <v>549</v>
      </c>
      <c r="AB1" s="10" t="s">
        <v>536</v>
      </c>
      <c r="AC1" s="11" t="s">
        <v>550</v>
      </c>
      <c r="AD1" s="10" t="s">
        <v>537</v>
      </c>
      <c r="AE1" s="11" t="s">
        <v>551</v>
      </c>
      <c r="AF1" s="10" t="s">
        <v>538</v>
      </c>
      <c r="AG1" s="11" t="s">
        <v>552</v>
      </c>
    </row>
    <row r="2" spans="1:33" x14ac:dyDescent="0.2">
      <c r="A2" s="2" t="s">
        <v>3</v>
      </c>
      <c r="B2" s="3" t="s">
        <v>35</v>
      </c>
      <c r="C2" s="2" t="s">
        <v>115</v>
      </c>
      <c r="D2" s="6" t="s">
        <v>120</v>
      </c>
      <c r="E2" s="12" t="s">
        <v>0</v>
      </c>
      <c r="F2" s="14" t="s">
        <v>284</v>
      </c>
      <c r="G2" s="15">
        <v>0</v>
      </c>
      <c r="H2" s="14" t="s">
        <v>284</v>
      </c>
      <c r="I2" s="15">
        <v>0</v>
      </c>
      <c r="J2" s="14" t="s">
        <v>284</v>
      </c>
      <c r="K2" s="15">
        <v>0</v>
      </c>
      <c r="L2" s="14" t="s">
        <v>284</v>
      </c>
      <c r="M2" s="15">
        <v>0</v>
      </c>
      <c r="N2" s="14" t="s">
        <v>284</v>
      </c>
      <c r="O2" s="15">
        <v>0</v>
      </c>
      <c r="P2" s="14">
        <v>25.35</v>
      </c>
      <c r="Q2" s="15">
        <v>8.07</v>
      </c>
      <c r="R2" s="14">
        <v>9.83</v>
      </c>
      <c r="S2" s="15">
        <v>15.32</v>
      </c>
      <c r="T2" s="14" t="s">
        <v>284</v>
      </c>
      <c r="U2" s="15">
        <v>0</v>
      </c>
      <c r="V2" s="14">
        <v>405.42</v>
      </c>
      <c r="W2" s="15">
        <v>15.5</v>
      </c>
      <c r="X2" s="14" t="s">
        <v>284</v>
      </c>
      <c r="Y2" s="15">
        <v>0</v>
      </c>
      <c r="Z2" s="14" t="s">
        <v>284</v>
      </c>
      <c r="AA2" s="15">
        <v>0</v>
      </c>
      <c r="AB2" s="14" t="s">
        <v>284</v>
      </c>
      <c r="AC2" s="15">
        <v>0</v>
      </c>
      <c r="AD2" s="14" t="s">
        <v>284</v>
      </c>
      <c r="AE2" s="15">
        <v>0</v>
      </c>
      <c r="AF2" s="14" t="s">
        <v>284</v>
      </c>
      <c r="AG2" s="15">
        <v>0</v>
      </c>
    </row>
    <row r="3" spans="1:33" x14ac:dyDescent="0.2">
      <c r="A3" s="2" t="s">
        <v>3</v>
      </c>
      <c r="B3" s="3" t="s">
        <v>35</v>
      </c>
      <c r="C3" s="2" t="s">
        <v>114</v>
      </c>
      <c r="D3" s="6" t="s">
        <v>121</v>
      </c>
      <c r="E3" s="12" t="s">
        <v>0</v>
      </c>
      <c r="F3" s="14" t="s">
        <v>284</v>
      </c>
      <c r="G3" s="15">
        <v>0</v>
      </c>
      <c r="H3" s="14" t="s">
        <v>284</v>
      </c>
      <c r="I3" s="15">
        <v>0</v>
      </c>
      <c r="J3" s="14" t="s">
        <v>284</v>
      </c>
      <c r="K3" s="15">
        <v>0</v>
      </c>
      <c r="L3" s="14" t="s">
        <v>284</v>
      </c>
      <c r="M3" s="15">
        <v>0</v>
      </c>
      <c r="N3" s="14" t="s">
        <v>553</v>
      </c>
      <c r="O3" s="15">
        <v>73.599999999999994</v>
      </c>
      <c r="P3" s="14">
        <v>47.13</v>
      </c>
      <c r="Q3" s="15">
        <v>9.01</v>
      </c>
      <c r="R3" s="14">
        <v>3.29</v>
      </c>
      <c r="S3" s="15">
        <v>7.48</v>
      </c>
      <c r="T3" s="14" t="s">
        <v>284</v>
      </c>
      <c r="U3" s="15">
        <v>0</v>
      </c>
      <c r="V3" s="14">
        <v>313.33999999999997</v>
      </c>
      <c r="W3" s="15">
        <v>0.64</v>
      </c>
      <c r="X3" s="14" t="s">
        <v>284</v>
      </c>
      <c r="Y3" s="15">
        <v>0</v>
      </c>
      <c r="Z3" s="14" t="s">
        <v>284</v>
      </c>
      <c r="AA3" s="15">
        <v>0</v>
      </c>
      <c r="AB3" s="14" t="s">
        <v>284</v>
      </c>
      <c r="AC3" s="15">
        <v>0</v>
      </c>
      <c r="AD3" s="14" t="s">
        <v>284</v>
      </c>
      <c r="AE3" s="15">
        <v>0</v>
      </c>
      <c r="AF3" s="14" t="s">
        <v>284</v>
      </c>
      <c r="AG3" s="15">
        <v>0</v>
      </c>
    </row>
    <row r="4" spans="1:33" x14ac:dyDescent="0.2">
      <c r="A4" s="2" t="s">
        <v>3</v>
      </c>
      <c r="B4" s="3" t="s">
        <v>35</v>
      </c>
      <c r="C4" s="2" t="s">
        <v>113</v>
      </c>
      <c r="D4" s="6" t="s">
        <v>122</v>
      </c>
      <c r="E4" s="12" t="s">
        <v>0</v>
      </c>
      <c r="F4" s="14" t="s">
        <v>284</v>
      </c>
      <c r="G4" s="15">
        <v>0</v>
      </c>
      <c r="H4" s="14" t="s">
        <v>284</v>
      </c>
      <c r="I4" s="15">
        <v>0</v>
      </c>
      <c r="J4" s="14" t="s">
        <v>284</v>
      </c>
      <c r="K4" s="15">
        <v>0</v>
      </c>
      <c r="L4" s="14" t="s">
        <v>284</v>
      </c>
      <c r="M4" s="15">
        <v>0</v>
      </c>
      <c r="N4" s="14" t="s">
        <v>554</v>
      </c>
      <c r="O4" s="15">
        <v>0</v>
      </c>
      <c r="P4" s="14">
        <v>53.41</v>
      </c>
      <c r="Q4" s="15">
        <v>26.14</v>
      </c>
      <c r="R4" s="14">
        <v>3.47</v>
      </c>
      <c r="S4" s="15">
        <v>31.95</v>
      </c>
      <c r="T4" s="14" t="s">
        <v>284</v>
      </c>
      <c r="U4" s="15">
        <v>0</v>
      </c>
      <c r="V4" s="14">
        <v>379.9</v>
      </c>
      <c r="W4" s="15">
        <v>19.7</v>
      </c>
      <c r="X4" s="14" t="s">
        <v>284</v>
      </c>
      <c r="Y4" s="15">
        <v>0</v>
      </c>
      <c r="Z4" s="14" t="s">
        <v>284</v>
      </c>
      <c r="AA4" s="15">
        <v>0</v>
      </c>
      <c r="AB4" s="14" t="s">
        <v>284</v>
      </c>
      <c r="AC4" s="15">
        <v>0</v>
      </c>
      <c r="AD4" s="14" t="s">
        <v>284</v>
      </c>
      <c r="AE4" s="15">
        <v>0</v>
      </c>
      <c r="AF4" s="14" t="s">
        <v>284</v>
      </c>
      <c r="AG4" s="15">
        <v>0</v>
      </c>
    </row>
    <row r="5" spans="1:33" x14ac:dyDescent="0.2">
      <c r="A5" s="2" t="s">
        <v>3</v>
      </c>
      <c r="B5" s="3" t="s">
        <v>35</v>
      </c>
      <c r="C5" s="2" t="s">
        <v>112</v>
      </c>
      <c r="D5" s="6" t="s">
        <v>123</v>
      </c>
      <c r="E5" s="12" t="s">
        <v>0</v>
      </c>
      <c r="F5" s="14" t="s">
        <v>284</v>
      </c>
      <c r="G5" s="15">
        <v>0</v>
      </c>
      <c r="H5" s="14" t="s">
        <v>284</v>
      </c>
      <c r="I5" s="15">
        <v>0</v>
      </c>
      <c r="J5" s="14" t="s">
        <v>284</v>
      </c>
      <c r="K5" s="15">
        <v>0</v>
      </c>
      <c r="L5" s="14" t="s">
        <v>284</v>
      </c>
      <c r="M5" s="15">
        <v>0</v>
      </c>
      <c r="N5" s="14" t="s">
        <v>555</v>
      </c>
      <c r="O5" s="15">
        <v>0</v>
      </c>
      <c r="P5" s="14">
        <v>416.67</v>
      </c>
      <c r="Q5" s="15">
        <v>5.37</v>
      </c>
      <c r="R5" s="14">
        <v>87.29</v>
      </c>
      <c r="S5" s="15">
        <v>1.37</v>
      </c>
      <c r="T5" s="14">
        <v>105.86</v>
      </c>
      <c r="U5" s="15">
        <v>4.04</v>
      </c>
      <c r="V5" s="14">
        <v>660.73</v>
      </c>
      <c r="W5" s="15">
        <v>4.57</v>
      </c>
      <c r="X5" s="14" t="s">
        <v>284</v>
      </c>
      <c r="Y5" s="15">
        <v>0</v>
      </c>
      <c r="Z5" s="14" t="s">
        <v>284</v>
      </c>
      <c r="AA5" s="15">
        <v>0</v>
      </c>
      <c r="AB5" s="14" t="s">
        <v>284</v>
      </c>
      <c r="AC5" s="15">
        <v>0</v>
      </c>
      <c r="AD5" s="14" t="s">
        <v>284</v>
      </c>
      <c r="AE5" s="15">
        <v>0</v>
      </c>
      <c r="AF5" s="14" t="s">
        <v>284</v>
      </c>
      <c r="AG5" s="15">
        <v>0</v>
      </c>
    </row>
    <row r="6" spans="1:33" x14ac:dyDescent="0.2">
      <c r="A6" s="2" t="s">
        <v>3</v>
      </c>
      <c r="B6" s="3" t="s">
        <v>35</v>
      </c>
      <c r="C6" s="2" t="s">
        <v>111</v>
      </c>
      <c r="D6" s="6" t="s">
        <v>124</v>
      </c>
      <c r="E6" s="12" t="s">
        <v>0</v>
      </c>
      <c r="F6" s="14" t="s">
        <v>284</v>
      </c>
      <c r="G6" s="15">
        <v>0</v>
      </c>
      <c r="H6" s="14" t="s">
        <v>284</v>
      </c>
      <c r="I6" s="15">
        <v>0</v>
      </c>
      <c r="J6" s="14" t="s">
        <v>284</v>
      </c>
      <c r="K6" s="15">
        <v>0</v>
      </c>
      <c r="L6" s="14" t="s">
        <v>284</v>
      </c>
      <c r="M6" s="15">
        <v>0</v>
      </c>
      <c r="N6" s="14" t="s">
        <v>556</v>
      </c>
      <c r="O6" s="15">
        <v>0</v>
      </c>
      <c r="P6" s="14">
        <v>50.78</v>
      </c>
      <c r="Q6" s="15">
        <v>1.84</v>
      </c>
      <c r="R6" s="14">
        <v>18.75</v>
      </c>
      <c r="S6" s="15">
        <v>12.99</v>
      </c>
      <c r="T6" s="14" t="s">
        <v>557</v>
      </c>
      <c r="U6" s="15">
        <v>11.84</v>
      </c>
      <c r="V6" s="14">
        <v>580.6</v>
      </c>
      <c r="W6" s="15">
        <v>9.1199999999999992</v>
      </c>
      <c r="X6" s="14" t="s">
        <v>284</v>
      </c>
      <c r="Y6" s="15">
        <v>0</v>
      </c>
      <c r="Z6" s="14" t="s">
        <v>284</v>
      </c>
      <c r="AA6" s="15">
        <v>0</v>
      </c>
      <c r="AB6" s="14" t="s">
        <v>284</v>
      </c>
      <c r="AC6" s="15">
        <v>0</v>
      </c>
      <c r="AD6" s="14" t="s">
        <v>284</v>
      </c>
      <c r="AE6" s="15">
        <v>0</v>
      </c>
      <c r="AF6" s="14" t="s">
        <v>284</v>
      </c>
      <c r="AG6" s="15">
        <v>0</v>
      </c>
    </row>
    <row r="7" spans="1:33" x14ac:dyDescent="0.2">
      <c r="A7" s="2" t="s">
        <v>3</v>
      </c>
      <c r="B7" s="3" t="s">
        <v>35</v>
      </c>
      <c r="C7" s="2" t="s">
        <v>110</v>
      </c>
      <c r="D7" s="6" t="s">
        <v>125</v>
      </c>
      <c r="E7" s="12" t="s">
        <v>0</v>
      </c>
      <c r="F7" s="14" t="s">
        <v>284</v>
      </c>
      <c r="G7" s="15">
        <v>0</v>
      </c>
      <c r="H7" s="14" t="s">
        <v>284</v>
      </c>
      <c r="I7" s="15">
        <v>0</v>
      </c>
      <c r="J7" s="14" t="s">
        <v>284</v>
      </c>
      <c r="K7" s="15">
        <v>0</v>
      </c>
      <c r="L7" s="14" t="s">
        <v>284</v>
      </c>
      <c r="M7" s="15">
        <v>0</v>
      </c>
      <c r="N7" s="14" t="s">
        <v>556</v>
      </c>
      <c r="O7" s="15">
        <v>59.21</v>
      </c>
      <c r="P7" s="14">
        <v>55.37</v>
      </c>
      <c r="Q7" s="15">
        <v>13.35</v>
      </c>
      <c r="R7" s="14">
        <v>22.31</v>
      </c>
      <c r="S7" s="15">
        <v>24.31</v>
      </c>
      <c r="T7" s="14">
        <v>4.12</v>
      </c>
      <c r="U7" s="15">
        <v>25.17</v>
      </c>
      <c r="V7" s="14">
        <v>655.39</v>
      </c>
      <c r="W7" s="15">
        <v>6.59</v>
      </c>
      <c r="X7" s="14" t="s">
        <v>284</v>
      </c>
      <c r="Y7" s="15">
        <v>0</v>
      </c>
      <c r="Z7" s="14" t="s">
        <v>284</v>
      </c>
      <c r="AA7" s="15">
        <v>0</v>
      </c>
      <c r="AB7" s="14" t="s">
        <v>284</v>
      </c>
      <c r="AC7" s="15">
        <v>0</v>
      </c>
      <c r="AD7" s="14" t="s">
        <v>284</v>
      </c>
      <c r="AE7" s="15">
        <v>0</v>
      </c>
      <c r="AF7" s="14" t="s">
        <v>284</v>
      </c>
      <c r="AG7" s="15">
        <v>0</v>
      </c>
    </row>
    <row r="8" spans="1:33" x14ac:dyDescent="0.2">
      <c r="A8" s="2" t="s">
        <v>3</v>
      </c>
      <c r="B8" s="3" t="s">
        <v>35</v>
      </c>
      <c r="C8" s="2" t="s">
        <v>109</v>
      </c>
      <c r="D8" s="6" t="s">
        <v>126</v>
      </c>
      <c r="E8" s="12" t="s">
        <v>0</v>
      </c>
      <c r="F8" s="14" t="s">
        <v>284</v>
      </c>
      <c r="G8" s="15">
        <v>0</v>
      </c>
      <c r="H8" s="14" t="s">
        <v>284</v>
      </c>
      <c r="I8" s="15">
        <v>0</v>
      </c>
      <c r="J8" s="14" t="s">
        <v>284</v>
      </c>
      <c r="K8" s="15">
        <v>0</v>
      </c>
      <c r="L8" s="14" t="s">
        <v>284</v>
      </c>
      <c r="M8" s="15">
        <v>0</v>
      </c>
      <c r="N8" s="14" t="s">
        <v>554</v>
      </c>
      <c r="O8" s="15">
        <v>0</v>
      </c>
      <c r="P8" s="14">
        <v>90.99</v>
      </c>
      <c r="Q8" s="15">
        <v>6.18</v>
      </c>
      <c r="R8" s="14">
        <v>2.81</v>
      </c>
      <c r="S8" s="15">
        <v>19.940000000000001</v>
      </c>
      <c r="T8" s="14">
        <v>10.4</v>
      </c>
      <c r="U8" s="15">
        <v>17.37</v>
      </c>
      <c r="V8" s="14">
        <v>423.87</v>
      </c>
      <c r="W8" s="15">
        <v>7.74</v>
      </c>
      <c r="X8" s="14" t="s">
        <v>284</v>
      </c>
      <c r="Y8" s="15">
        <v>0</v>
      </c>
      <c r="Z8" s="14" t="s">
        <v>284</v>
      </c>
      <c r="AA8" s="15">
        <v>0</v>
      </c>
      <c r="AB8" s="14" t="s">
        <v>284</v>
      </c>
      <c r="AC8" s="15">
        <v>0</v>
      </c>
      <c r="AD8" s="14" t="s">
        <v>284</v>
      </c>
      <c r="AE8" s="15">
        <v>0</v>
      </c>
      <c r="AF8" s="14" t="s">
        <v>284</v>
      </c>
      <c r="AG8" s="15">
        <v>0</v>
      </c>
    </row>
    <row r="9" spans="1:33" x14ac:dyDescent="0.2">
      <c r="A9" s="2" t="s">
        <v>3</v>
      </c>
      <c r="B9" s="3" t="s">
        <v>35</v>
      </c>
      <c r="C9" s="2" t="s">
        <v>108</v>
      </c>
      <c r="D9" s="6" t="s">
        <v>127</v>
      </c>
      <c r="E9" s="12" t="s">
        <v>0</v>
      </c>
      <c r="F9" s="14" t="s">
        <v>284</v>
      </c>
      <c r="G9" s="15">
        <v>0</v>
      </c>
      <c r="H9" s="14" t="s">
        <v>284</v>
      </c>
      <c r="I9" s="15">
        <v>0</v>
      </c>
      <c r="J9" s="14" t="s">
        <v>284</v>
      </c>
      <c r="K9" s="15">
        <v>0</v>
      </c>
      <c r="L9" s="14" t="s">
        <v>284</v>
      </c>
      <c r="M9" s="15">
        <v>0</v>
      </c>
      <c r="N9" s="14" t="s">
        <v>558</v>
      </c>
      <c r="O9" s="15">
        <v>97.42</v>
      </c>
      <c r="P9" s="14">
        <v>59.92</v>
      </c>
      <c r="Q9" s="15">
        <v>7.63</v>
      </c>
      <c r="R9" s="14">
        <v>2.5</v>
      </c>
      <c r="S9" s="15">
        <v>20.07</v>
      </c>
      <c r="T9" s="14" t="s">
        <v>284</v>
      </c>
      <c r="U9" s="15">
        <v>0</v>
      </c>
      <c r="V9" s="14">
        <v>416.77</v>
      </c>
      <c r="W9" s="15">
        <v>1.61</v>
      </c>
      <c r="X9" s="14" t="s">
        <v>284</v>
      </c>
      <c r="Y9" s="15">
        <v>0</v>
      </c>
      <c r="Z9" s="14" t="s">
        <v>284</v>
      </c>
      <c r="AA9" s="15">
        <v>0</v>
      </c>
      <c r="AB9" s="14" t="s">
        <v>284</v>
      </c>
      <c r="AC9" s="15">
        <v>0</v>
      </c>
      <c r="AD9" s="14" t="s">
        <v>284</v>
      </c>
      <c r="AE9" s="15">
        <v>0</v>
      </c>
      <c r="AF9" s="14" t="s">
        <v>284</v>
      </c>
      <c r="AG9" s="15">
        <v>0</v>
      </c>
    </row>
    <row r="10" spans="1:33" x14ac:dyDescent="0.2">
      <c r="A10" s="2" t="s">
        <v>3</v>
      </c>
      <c r="B10" s="3" t="s">
        <v>35</v>
      </c>
      <c r="C10" s="2" t="s">
        <v>107</v>
      </c>
      <c r="D10" s="6" t="s">
        <v>128</v>
      </c>
      <c r="E10" s="12" t="s">
        <v>0</v>
      </c>
      <c r="F10" s="14" t="s">
        <v>284</v>
      </c>
      <c r="G10" s="15">
        <v>0</v>
      </c>
      <c r="H10" s="14" t="s">
        <v>284</v>
      </c>
      <c r="I10" s="15">
        <v>0</v>
      </c>
      <c r="J10" s="14" t="s">
        <v>284</v>
      </c>
      <c r="K10" s="15">
        <v>0</v>
      </c>
      <c r="L10" s="14" t="s">
        <v>284</v>
      </c>
      <c r="M10" s="15">
        <v>0</v>
      </c>
      <c r="N10" s="14" t="s">
        <v>284</v>
      </c>
      <c r="O10" s="15">
        <v>0</v>
      </c>
      <c r="P10" s="14">
        <v>42.76</v>
      </c>
      <c r="Q10" s="15">
        <v>0</v>
      </c>
      <c r="R10" s="14">
        <v>5.77</v>
      </c>
      <c r="S10" s="15">
        <v>0</v>
      </c>
      <c r="T10" s="14" t="s">
        <v>284</v>
      </c>
      <c r="U10" s="15">
        <v>0</v>
      </c>
      <c r="V10" s="14">
        <v>613.32000000000005</v>
      </c>
      <c r="W10" s="15">
        <v>0</v>
      </c>
      <c r="X10" s="14" t="s">
        <v>284</v>
      </c>
      <c r="Y10" s="15">
        <v>0</v>
      </c>
      <c r="Z10" s="14" t="s">
        <v>284</v>
      </c>
      <c r="AA10" s="15">
        <v>0</v>
      </c>
      <c r="AB10" s="14" t="s">
        <v>284</v>
      </c>
      <c r="AC10" s="15">
        <v>0</v>
      </c>
      <c r="AD10" s="14" t="s">
        <v>284</v>
      </c>
      <c r="AE10" s="15">
        <v>0</v>
      </c>
      <c r="AF10" s="14" t="s">
        <v>284</v>
      </c>
      <c r="AG10" s="15">
        <v>0</v>
      </c>
    </row>
    <row r="11" spans="1:33" x14ac:dyDescent="0.2">
      <c r="A11" s="2" t="s">
        <v>3</v>
      </c>
      <c r="B11" s="3" t="s">
        <v>35</v>
      </c>
      <c r="C11" s="2" t="s">
        <v>106</v>
      </c>
      <c r="D11" s="6" t="s">
        <v>129</v>
      </c>
      <c r="E11" s="12" t="s">
        <v>0</v>
      </c>
      <c r="F11" s="14" t="s">
        <v>284</v>
      </c>
      <c r="G11" s="15">
        <v>0</v>
      </c>
      <c r="H11" s="14" t="s">
        <v>284</v>
      </c>
      <c r="I11" s="15">
        <v>0</v>
      </c>
      <c r="J11" s="14" t="s">
        <v>284</v>
      </c>
      <c r="K11" s="15">
        <v>0</v>
      </c>
      <c r="L11" s="14" t="s">
        <v>284</v>
      </c>
      <c r="M11" s="15">
        <v>0</v>
      </c>
      <c r="N11" s="14">
        <v>9.36</v>
      </c>
      <c r="O11" s="15">
        <v>0</v>
      </c>
      <c r="P11" s="14">
        <v>347.38</v>
      </c>
      <c r="Q11" s="15">
        <v>0</v>
      </c>
      <c r="R11" s="14">
        <v>47.59</v>
      </c>
      <c r="S11" s="15">
        <v>0</v>
      </c>
      <c r="T11" s="14">
        <v>17.34</v>
      </c>
      <c r="U11" s="15">
        <v>0</v>
      </c>
      <c r="V11" s="14">
        <v>308.14999999999998</v>
      </c>
      <c r="W11" s="15">
        <v>0</v>
      </c>
      <c r="X11" s="14" t="s">
        <v>284</v>
      </c>
      <c r="Y11" s="15">
        <v>0</v>
      </c>
      <c r="Z11" s="14" t="s">
        <v>284</v>
      </c>
      <c r="AA11" s="15">
        <v>0</v>
      </c>
      <c r="AB11" s="14" t="s">
        <v>284</v>
      </c>
      <c r="AC11" s="15">
        <v>0</v>
      </c>
      <c r="AD11" s="14" t="s">
        <v>284</v>
      </c>
      <c r="AE11" s="15">
        <v>0</v>
      </c>
      <c r="AF11" s="14" t="s">
        <v>284</v>
      </c>
      <c r="AG11" s="15">
        <v>0</v>
      </c>
    </row>
    <row r="12" spans="1:33" x14ac:dyDescent="0.2">
      <c r="A12" s="2" t="s">
        <v>3</v>
      </c>
      <c r="B12" s="3" t="s">
        <v>35</v>
      </c>
      <c r="C12" s="2" t="s">
        <v>105</v>
      </c>
      <c r="D12" s="6" t="s">
        <v>130</v>
      </c>
      <c r="E12" s="12" t="s">
        <v>0</v>
      </c>
      <c r="F12" s="14" t="s">
        <v>284</v>
      </c>
      <c r="G12" s="15">
        <v>0</v>
      </c>
      <c r="H12" s="14" t="s">
        <v>284</v>
      </c>
      <c r="I12" s="15">
        <v>0</v>
      </c>
      <c r="J12" s="14" t="s">
        <v>284</v>
      </c>
      <c r="K12" s="15">
        <v>0</v>
      </c>
      <c r="L12" s="14" t="s">
        <v>284</v>
      </c>
      <c r="M12" s="15">
        <v>0</v>
      </c>
      <c r="N12" s="14" t="s">
        <v>284</v>
      </c>
      <c r="O12" s="15">
        <v>0</v>
      </c>
      <c r="P12" s="14">
        <v>13.34</v>
      </c>
      <c r="Q12" s="15">
        <v>0</v>
      </c>
      <c r="R12" s="14" t="s">
        <v>559</v>
      </c>
      <c r="S12" s="15">
        <v>0</v>
      </c>
      <c r="T12" s="14" t="s">
        <v>284</v>
      </c>
      <c r="U12" s="15">
        <v>0</v>
      </c>
      <c r="V12" s="14">
        <v>267.51</v>
      </c>
      <c r="W12" s="15">
        <v>0</v>
      </c>
      <c r="X12" s="14" t="s">
        <v>284</v>
      </c>
      <c r="Y12" s="15">
        <v>0</v>
      </c>
      <c r="Z12" s="14" t="s">
        <v>284</v>
      </c>
      <c r="AA12" s="15">
        <v>0</v>
      </c>
      <c r="AB12" s="14" t="s">
        <v>284</v>
      </c>
      <c r="AC12" s="15">
        <v>0</v>
      </c>
      <c r="AD12" s="14" t="s">
        <v>284</v>
      </c>
      <c r="AE12" s="15">
        <v>0</v>
      </c>
      <c r="AF12" s="14" t="s">
        <v>284</v>
      </c>
      <c r="AG12" s="15">
        <v>0</v>
      </c>
    </row>
    <row r="13" spans="1:33" x14ac:dyDescent="0.2">
      <c r="A13" s="2" t="s">
        <v>3</v>
      </c>
      <c r="B13" s="3" t="s">
        <v>35</v>
      </c>
      <c r="C13" s="2" t="s">
        <v>104</v>
      </c>
      <c r="D13" s="6" t="s">
        <v>131</v>
      </c>
      <c r="E13" s="12" t="s">
        <v>0</v>
      </c>
      <c r="F13" s="14" t="s">
        <v>284</v>
      </c>
      <c r="G13" s="15">
        <v>0</v>
      </c>
      <c r="H13" s="14" t="s">
        <v>284</v>
      </c>
      <c r="I13" s="15">
        <v>0</v>
      </c>
      <c r="J13" s="14" t="s">
        <v>284</v>
      </c>
      <c r="K13" s="15">
        <v>0</v>
      </c>
      <c r="L13" s="14" t="s">
        <v>284</v>
      </c>
      <c r="M13" s="15">
        <v>0</v>
      </c>
      <c r="N13" s="14" t="s">
        <v>560</v>
      </c>
      <c r="O13" s="15">
        <v>0</v>
      </c>
      <c r="P13" s="14">
        <v>8.49</v>
      </c>
      <c r="Q13" s="15">
        <v>0</v>
      </c>
      <c r="R13" s="14">
        <v>8.1</v>
      </c>
      <c r="S13" s="15">
        <v>0</v>
      </c>
      <c r="T13" s="14" t="s">
        <v>284</v>
      </c>
      <c r="U13" s="15">
        <v>0</v>
      </c>
      <c r="V13" s="14">
        <v>327.98</v>
      </c>
      <c r="W13" s="15">
        <v>0</v>
      </c>
      <c r="X13" s="14" t="s">
        <v>284</v>
      </c>
      <c r="Y13" s="15">
        <v>0</v>
      </c>
      <c r="Z13" s="14" t="s">
        <v>284</v>
      </c>
      <c r="AA13" s="15">
        <v>0</v>
      </c>
      <c r="AB13" s="14" t="s">
        <v>284</v>
      </c>
      <c r="AC13" s="15">
        <v>0</v>
      </c>
      <c r="AD13" s="14" t="s">
        <v>284</v>
      </c>
      <c r="AE13" s="15">
        <v>0</v>
      </c>
      <c r="AF13" s="14" t="s">
        <v>284</v>
      </c>
      <c r="AG13" s="15">
        <v>0</v>
      </c>
    </row>
    <row r="14" spans="1:33" x14ac:dyDescent="0.2">
      <c r="A14" s="2" t="s">
        <v>3</v>
      </c>
      <c r="B14" s="3" t="s">
        <v>35</v>
      </c>
      <c r="C14" s="2" t="s">
        <v>103</v>
      </c>
      <c r="D14" s="6" t="s">
        <v>132</v>
      </c>
      <c r="E14" s="12" t="s">
        <v>0</v>
      </c>
      <c r="F14" s="14" t="s">
        <v>284</v>
      </c>
      <c r="G14" s="15">
        <v>0</v>
      </c>
      <c r="H14" s="14" t="s">
        <v>284</v>
      </c>
      <c r="I14" s="15">
        <v>0</v>
      </c>
      <c r="J14" s="14" t="s">
        <v>284</v>
      </c>
      <c r="K14" s="15">
        <v>0</v>
      </c>
      <c r="L14" s="14" t="s">
        <v>284</v>
      </c>
      <c r="M14" s="15">
        <v>0</v>
      </c>
      <c r="N14" s="14" t="s">
        <v>560</v>
      </c>
      <c r="O14" s="15">
        <v>0</v>
      </c>
      <c r="P14" s="14">
        <v>290.74</v>
      </c>
      <c r="Q14" s="15">
        <v>0</v>
      </c>
      <c r="R14" s="14">
        <v>114.27</v>
      </c>
      <c r="S14" s="15">
        <v>0</v>
      </c>
      <c r="T14" s="14">
        <v>9.42</v>
      </c>
      <c r="U14" s="15">
        <v>0</v>
      </c>
      <c r="V14" s="14">
        <v>2386.6</v>
      </c>
      <c r="W14" s="15">
        <v>0</v>
      </c>
      <c r="X14" s="14" t="s">
        <v>284</v>
      </c>
      <c r="Y14" s="15">
        <v>0</v>
      </c>
      <c r="Z14" s="14" t="s">
        <v>284</v>
      </c>
      <c r="AA14" s="15">
        <v>0</v>
      </c>
      <c r="AB14" s="14" t="s">
        <v>284</v>
      </c>
      <c r="AC14" s="15">
        <v>0</v>
      </c>
      <c r="AD14" s="14" t="s">
        <v>284</v>
      </c>
      <c r="AE14" s="15">
        <v>0</v>
      </c>
      <c r="AF14" s="14" t="s">
        <v>284</v>
      </c>
      <c r="AG14" s="15">
        <v>0</v>
      </c>
    </row>
    <row r="15" spans="1:33" x14ac:dyDescent="0.2">
      <c r="A15" s="2" t="s">
        <v>3</v>
      </c>
      <c r="B15" s="3" t="s">
        <v>35</v>
      </c>
      <c r="C15" s="2" t="s">
        <v>102</v>
      </c>
      <c r="D15" s="6" t="s">
        <v>133</v>
      </c>
      <c r="E15" s="12" t="s">
        <v>0</v>
      </c>
      <c r="F15" s="14" t="s">
        <v>284</v>
      </c>
      <c r="G15" s="15">
        <v>0</v>
      </c>
      <c r="H15" s="14" t="s">
        <v>284</v>
      </c>
      <c r="I15" s="15">
        <v>0</v>
      </c>
      <c r="J15" s="14" t="s">
        <v>284</v>
      </c>
      <c r="K15" s="15">
        <v>0</v>
      </c>
      <c r="L15" s="14" t="s">
        <v>284</v>
      </c>
      <c r="M15" s="15">
        <v>0</v>
      </c>
      <c r="N15" s="14">
        <v>12.19</v>
      </c>
      <c r="O15" s="15">
        <v>0</v>
      </c>
      <c r="P15" s="14">
        <v>142.29</v>
      </c>
      <c r="Q15" s="15">
        <v>0</v>
      </c>
      <c r="R15" s="14">
        <v>31.57</v>
      </c>
      <c r="S15" s="15">
        <v>0</v>
      </c>
      <c r="T15" s="14">
        <v>5.0999999999999996</v>
      </c>
      <c r="U15" s="15">
        <v>0</v>
      </c>
      <c r="V15" s="14">
        <v>1455.97</v>
      </c>
      <c r="W15" s="15">
        <v>0</v>
      </c>
      <c r="X15" s="14" t="s">
        <v>284</v>
      </c>
      <c r="Y15" s="15">
        <v>0</v>
      </c>
      <c r="Z15" s="14" t="s">
        <v>284</v>
      </c>
      <c r="AA15" s="15">
        <v>0</v>
      </c>
      <c r="AB15" s="14" t="s">
        <v>284</v>
      </c>
      <c r="AC15" s="15">
        <v>0</v>
      </c>
      <c r="AD15" s="14" t="s">
        <v>284</v>
      </c>
      <c r="AE15" s="15">
        <v>0</v>
      </c>
      <c r="AF15" s="14" t="s">
        <v>284</v>
      </c>
      <c r="AG15" s="15">
        <v>0</v>
      </c>
    </row>
    <row r="16" spans="1:33" x14ac:dyDescent="0.2">
      <c r="A16" s="2" t="s">
        <v>3</v>
      </c>
      <c r="B16" s="3" t="s">
        <v>35</v>
      </c>
      <c r="C16" s="2" t="s">
        <v>101</v>
      </c>
      <c r="D16" s="6" t="s">
        <v>134</v>
      </c>
      <c r="E16" s="12" t="s">
        <v>0</v>
      </c>
      <c r="F16" s="14" t="s">
        <v>284</v>
      </c>
      <c r="G16" s="15">
        <v>0</v>
      </c>
      <c r="H16" s="14" t="s">
        <v>284</v>
      </c>
      <c r="I16" s="15">
        <v>0</v>
      </c>
      <c r="J16" s="14" t="s">
        <v>284</v>
      </c>
      <c r="K16" s="15">
        <v>0</v>
      </c>
      <c r="L16" s="14" t="s">
        <v>284</v>
      </c>
      <c r="M16" s="15">
        <v>0</v>
      </c>
      <c r="N16" s="14" t="s">
        <v>558</v>
      </c>
      <c r="O16" s="15">
        <v>0</v>
      </c>
      <c r="P16" s="14">
        <v>227.73</v>
      </c>
      <c r="Q16" s="15">
        <v>0</v>
      </c>
      <c r="R16" s="14">
        <v>36.68</v>
      </c>
      <c r="S16" s="15">
        <v>0</v>
      </c>
      <c r="T16" s="14" t="s">
        <v>284</v>
      </c>
      <c r="U16" s="15">
        <v>0</v>
      </c>
      <c r="V16" s="14">
        <v>633.6</v>
      </c>
      <c r="W16" s="15">
        <v>0</v>
      </c>
      <c r="X16" s="14" t="s">
        <v>284</v>
      </c>
      <c r="Y16" s="15">
        <v>0</v>
      </c>
      <c r="Z16" s="14" t="s">
        <v>284</v>
      </c>
      <c r="AA16" s="15">
        <v>0</v>
      </c>
      <c r="AB16" s="14" t="s">
        <v>284</v>
      </c>
      <c r="AC16" s="15">
        <v>0</v>
      </c>
      <c r="AD16" s="14" t="s">
        <v>284</v>
      </c>
      <c r="AE16" s="15">
        <v>0</v>
      </c>
      <c r="AF16" s="14" t="s">
        <v>284</v>
      </c>
      <c r="AG16" s="15">
        <v>0</v>
      </c>
    </row>
    <row r="17" spans="1:33" x14ac:dyDescent="0.2">
      <c r="A17" s="2" t="s">
        <v>3</v>
      </c>
      <c r="B17" s="3" t="s">
        <v>35</v>
      </c>
      <c r="C17" s="2" t="s">
        <v>100</v>
      </c>
      <c r="D17" s="6" t="s">
        <v>135</v>
      </c>
      <c r="E17" s="12" t="s">
        <v>0</v>
      </c>
      <c r="F17" s="14" t="s">
        <v>284</v>
      </c>
      <c r="G17" s="15">
        <v>0</v>
      </c>
      <c r="H17" s="14" t="s">
        <v>284</v>
      </c>
      <c r="I17" s="15">
        <v>0</v>
      </c>
      <c r="J17" s="14" t="s">
        <v>284</v>
      </c>
      <c r="K17" s="15">
        <v>0</v>
      </c>
      <c r="L17" s="14" t="s">
        <v>284</v>
      </c>
      <c r="M17" s="15">
        <v>0</v>
      </c>
      <c r="N17" s="14" t="s">
        <v>560</v>
      </c>
      <c r="O17" s="15">
        <v>0</v>
      </c>
      <c r="P17" s="14">
        <v>78.319999999999993</v>
      </c>
      <c r="Q17" s="15">
        <v>0</v>
      </c>
      <c r="R17" s="14">
        <v>14.38</v>
      </c>
      <c r="S17" s="15">
        <v>0</v>
      </c>
      <c r="T17" s="14" t="s">
        <v>284</v>
      </c>
      <c r="U17" s="15">
        <v>0</v>
      </c>
      <c r="V17" s="14">
        <v>506.95</v>
      </c>
      <c r="W17" s="15">
        <v>0</v>
      </c>
      <c r="X17" s="14" t="s">
        <v>284</v>
      </c>
      <c r="Y17" s="15">
        <v>0</v>
      </c>
      <c r="Z17" s="14" t="s">
        <v>284</v>
      </c>
      <c r="AA17" s="15">
        <v>0</v>
      </c>
      <c r="AB17" s="14" t="s">
        <v>284</v>
      </c>
      <c r="AC17" s="15">
        <v>0</v>
      </c>
      <c r="AD17" s="14" t="s">
        <v>284</v>
      </c>
      <c r="AE17" s="15">
        <v>0</v>
      </c>
      <c r="AF17" s="14" t="s">
        <v>284</v>
      </c>
      <c r="AG17" s="15">
        <v>0</v>
      </c>
    </row>
    <row r="18" spans="1:33" x14ac:dyDescent="0.2">
      <c r="A18" s="2" t="s">
        <v>3</v>
      </c>
      <c r="B18" s="3" t="s">
        <v>35</v>
      </c>
      <c r="C18" s="2" t="s">
        <v>99</v>
      </c>
      <c r="D18" s="6" t="s">
        <v>136</v>
      </c>
      <c r="E18" s="12" t="s">
        <v>0</v>
      </c>
      <c r="F18" s="14" t="s">
        <v>284</v>
      </c>
      <c r="G18" s="15">
        <v>0</v>
      </c>
      <c r="H18" s="14" t="s">
        <v>284</v>
      </c>
      <c r="I18" s="15">
        <v>0</v>
      </c>
      <c r="J18" s="14" t="s">
        <v>284</v>
      </c>
      <c r="K18" s="15">
        <v>0</v>
      </c>
      <c r="L18" s="14" t="s">
        <v>284</v>
      </c>
      <c r="M18" s="15">
        <v>0</v>
      </c>
      <c r="N18" s="14" t="s">
        <v>284</v>
      </c>
      <c r="O18" s="15">
        <v>0</v>
      </c>
      <c r="P18" s="14">
        <v>18.72</v>
      </c>
      <c r="Q18" s="15">
        <v>0</v>
      </c>
      <c r="R18" s="14">
        <v>5.26</v>
      </c>
      <c r="S18" s="15">
        <v>0</v>
      </c>
      <c r="T18" s="14" t="s">
        <v>284</v>
      </c>
      <c r="U18" s="15">
        <v>0</v>
      </c>
      <c r="V18" s="14">
        <v>398.8</v>
      </c>
      <c r="W18" s="15">
        <v>0</v>
      </c>
      <c r="X18" s="14" t="s">
        <v>284</v>
      </c>
      <c r="Y18" s="15">
        <v>0</v>
      </c>
      <c r="Z18" s="14" t="s">
        <v>284</v>
      </c>
      <c r="AA18" s="15">
        <v>0</v>
      </c>
      <c r="AB18" s="14" t="s">
        <v>284</v>
      </c>
      <c r="AC18" s="15">
        <v>0</v>
      </c>
      <c r="AD18" s="14" t="s">
        <v>284</v>
      </c>
      <c r="AE18" s="15">
        <v>0</v>
      </c>
      <c r="AF18" s="14" t="s">
        <v>284</v>
      </c>
      <c r="AG18" s="15">
        <v>0</v>
      </c>
    </row>
    <row r="19" spans="1:33" x14ac:dyDescent="0.2">
      <c r="A19" s="2" t="s">
        <v>3</v>
      </c>
      <c r="B19" s="3" t="s">
        <v>35</v>
      </c>
      <c r="C19" s="2" t="s">
        <v>98</v>
      </c>
      <c r="D19" s="6" t="s">
        <v>137</v>
      </c>
      <c r="E19" s="12" t="s">
        <v>0</v>
      </c>
      <c r="F19" s="14" t="s">
        <v>284</v>
      </c>
      <c r="G19" s="15">
        <v>0</v>
      </c>
      <c r="H19" s="14" t="s">
        <v>284</v>
      </c>
      <c r="I19" s="15">
        <v>0</v>
      </c>
      <c r="J19" s="14" t="s">
        <v>284</v>
      </c>
      <c r="K19" s="15">
        <v>0</v>
      </c>
      <c r="L19" s="14" t="s">
        <v>284</v>
      </c>
      <c r="M19" s="15">
        <v>0</v>
      </c>
      <c r="N19" s="14">
        <v>15.07</v>
      </c>
      <c r="O19" s="15">
        <v>0</v>
      </c>
      <c r="P19" s="14">
        <v>2035.06</v>
      </c>
      <c r="Q19" s="15">
        <v>0</v>
      </c>
      <c r="R19" s="14">
        <v>179.94</v>
      </c>
      <c r="S19" s="15">
        <v>0</v>
      </c>
      <c r="T19" s="14">
        <v>212.38</v>
      </c>
      <c r="U19" s="15">
        <v>0</v>
      </c>
      <c r="V19" s="14">
        <v>711.38</v>
      </c>
      <c r="W19" s="15">
        <v>0</v>
      </c>
      <c r="X19" s="14" t="s">
        <v>284</v>
      </c>
      <c r="Y19" s="15">
        <v>0</v>
      </c>
      <c r="Z19" s="14" t="s">
        <v>284</v>
      </c>
      <c r="AA19" s="15">
        <v>0</v>
      </c>
      <c r="AB19" s="14" t="s">
        <v>284</v>
      </c>
      <c r="AC19" s="15">
        <v>0</v>
      </c>
      <c r="AD19" s="14">
        <v>2.1800000000000002</v>
      </c>
      <c r="AE19" s="15">
        <v>0</v>
      </c>
      <c r="AF19" s="14" t="s">
        <v>284</v>
      </c>
      <c r="AG19" s="15">
        <v>0</v>
      </c>
    </row>
    <row r="20" spans="1:33" x14ac:dyDescent="0.2">
      <c r="A20" s="2" t="s">
        <v>3</v>
      </c>
      <c r="B20" s="3" t="s">
        <v>35</v>
      </c>
      <c r="C20" s="2" t="s">
        <v>97</v>
      </c>
      <c r="D20" s="6" t="s">
        <v>138</v>
      </c>
      <c r="E20" s="12" t="s">
        <v>0</v>
      </c>
      <c r="F20" s="14" t="s">
        <v>284</v>
      </c>
      <c r="G20" s="15">
        <v>0</v>
      </c>
      <c r="H20" s="14" t="s">
        <v>284</v>
      </c>
      <c r="I20" s="15">
        <v>0</v>
      </c>
      <c r="J20" s="14" t="s">
        <v>284</v>
      </c>
      <c r="K20" s="15">
        <v>0</v>
      </c>
      <c r="L20" s="14" t="s">
        <v>284</v>
      </c>
      <c r="M20" s="15">
        <v>0</v>
      </c>
      <c r="N20" s="14" t="s">
        <v>284</v>
      </c>
      <c r="O20" s="15">
        <v>0</v>
      </c>
      <c r="P20" s="14">
        <v>72.05</v>
      </c>
      <c r="Q20" s="15">
        <v>0</v>
      </c>
      <c r="R20" s="14">
        <v>217.63</v>
      </c>
      <c r="S20" s="15">
        <v>0</v>
      </c>
      <c r="T20" s="14">
        <v>3.14</v>
      </c>
      <c r="U20" s="15">
        <v>0</v>
      </c>
      <c r="V20" s="14">
        <v>2242.2600000000002</v>
      </c>
      <c r="W20" s="15">
        <v>0</v>
      </c>
      <c r="X20" s="14" t="s">
        <v>284</v>
      </c>
      <c r="Y20" s="15">
        <v>0</v>
      </c>
      <c r="Z20" s="14" t="s">
        <v>284</v>
      </c>
      <c r="AA20" s="15">
        <v>0</v>
      </c>
      <c r="AB20" s="14" t="s">
        <v>284</v>
      </c>
      <c r="AC20" s="15">
        <v>0</v>
      </c>
      <c r="AD20" s="14" t="s">
        <v>284</v>
      </c>
      <c r="AE20" s="15">
        <v>0</v>
      </c>
      <c r="AF20" s="14" t="s">
        <v>284</v>
      </c>
      <c r="AG20" s="15">
        <v>0</v>
      </c>
    </row>
    <row r="21" spans="1:33" x14ac:dyDescent="0.2">
      <c r="A21" s="2" t="s">
        <v>3</v>
      </c>
      <c r="B21" s="3" t="s">
        <v>35</v>
      </c>
      <c r="C21" s="2" t="s">
        <v>96</v>
      </c>
      <c r="D21" s="6" t="s">
        <v>139</v>
      </c>
      <c r="E21" s="12" t="s">
        <v>0</v>
      </c>
      <c r="F21" s="14" t="s">
        <v>284</v>
      </c>
      <c r="G21" s="15">
        <v>0</v>
      </c>
      <c r="H21" s="14" t="s">
        <v>284</v>
      </c>
      <c r="I21" s="15">
        <v>0</v>
      </c>
      <c r="J21" s="14" t="s">
        <v>284</v>
      </c>
      <c r="K21" s="15">
        <v>0</v>
      </c>
      <c r="L21" s="14" t="s">
        <v>284</v>
      </c>
      <c r="M21" s="15">
        <v>0</v>
      </c>
      <c r="N21" s="14" t="s">
        <v>560</v>
      </c>
      <c r="O21" s="15">
        <v>0</v>
      </c>
      <c r="P21" s="14">
        <v>61.21</v>
      </c>
      <c r="Q21" s="15">
        <v>0</v>
      </c>
      <c r="R21" s="14">
        <v>193.3</v>
      </c>
      <c r="S21" s="15">
        <v>0</v>
      </c>
      <c r="T21" s="14">
        <v>4.6100000000000003</v>
      </c>
      <c r="U21" s="15">
        <v>0</v>
      </c>
      <c r="V21" s="14">
        <v>737.83</v>
      </c>
      <c r="W21" s="15">
        <v>0</v>
      </c>
      <c r="X21" s="14" t="s">
        <v>284</v>
      </c>
      <c r="Y21" s="15">
        <v>0</v>
      </c>
      <c r="Z21" s="14" t="s">
        <v>284</v>
      </c>
      <c r="AA21" s="15">
        <v>0</v>
      </c>
      <c r="AB21" s="14" t="s">
        <v>284</v>
      </c>
      <c r="AC21" s="15">
        <v>0</v>
      </c>
      <c r="AD21" s="14" t="s">
        <v>284</v>
      </c>
      <c r="AE21" s="15">
        <v>0</v>
      </c>
      <c r="AF21" s="14" t="s">
        <v>284</v>
      </c>
      <c r="AG21" s="15">
        <v>0</v>
      </c>
    </row>
    <row r="22" spans="1:33" x14ac:dyDescent="0.2">
      <c r="A22" s="2" t="s">
        <v>3</v>
      </c>
      <c r="B22" s="3" t="s">
        <v>35</v>
      </c>
      <c r="C22" s="2" t="s">
        <v>95</v>
      </c>
      <c r="D22" s="6" t="s">
        <v>140</v>
      </c>
      <c r="E22" s="12" t="s">
        <v>0</v>
      </c>
      <c r="F22" s="14" t="s">
        <v>284</v>
      </c>
      <c r="G22" s="15">
        <v>0</v>
      </c>
      <c r="H22" s="14" t="s">
        <v>284</v>
      </c>
      <c r="I22" s="15">
        <v>0</v>
      </c>
      <c r="J22" s="14" t="s">
        <v>284</v>
      </c>
      <c r="K22" s="15">
        <v>0</v>
      </c>
      <c r="L22" s="14" t="s">
        <v>284</v>
      </c>
      <c r="M22" s="15">
        <v>0</v>
      </c>
      <c r="N22" s="14" t="s">
        <v>284</v>
      </c>
      <c r="O22" s="15">
        <v>0</v>
      </c>
      <c r="P22" s="14">
        <v>14.9</v>
      </c>
      <c r="Q22" s="15">
        <v>0</v>
      </c>
      <c r="R22" s="14" t="s">
        <v>561</v>
      </c>
      <c r="S22" s="15">
        <v>0</v>
      </c>
      <c r="T22" s="14" t="s">
        <v>284</v>
      </c>
      <c r="U22" s="15">
        <v>0</v>
      </c>
      <c r="V22" s="14">
        <v>264.67</v>
      </c>
      <c r="W22" s="15">
        <v>0</v>
      </c>
      <c r="X22" s="14" t="s">
        <v>284</v>
      </c>
      <c r="Y22" s="15">
        <v>0</v>
      </c>
      <c r="Z22" s="14" t="s">
        <v>284</v>
      </c>
      <c r="AA22" s="15">
        <v>0</v>
      </c>
      <c r="AB22" s="14" t="s">
        <v>284</v>
      </c>
      <c r="AC22" s="15">
        <v>0</v>
      </c>
      <c r="AD22" s="14" t="s">
        <v>284</v>
      </c>
      <c r="AE22" s="15">
        <v>0</v>
      </c>
      <c r="AF22" s="14" t="s">
        <v>284</v>
      </c>
      <c r="AG22" s="15">
        <v>0</v>
      </c>
    </row>
    <row r="23" spans="1:33" x14ac:dyDescent="0.2">
      <c r="A23" s="2" t="s">
        <v>3</v>
      </c>
      <c r="B23" s="3" t="s">
        <v>35</v>
      </c>
      <c r="C23" s="2" t="s">
        <v>94</v>
      </c>
      <c r="D23" s="6" t="s">
        <v>141</v>
      </c>
      <c r="E23" s="12" t="s">
        <v>0</v>
      </c>
      <c r="F23" s="14" t="s">
        <v>284</v>
      </c>
      <c r="G23" s="15">
        <v>0</v>
      </c>
      <c r="H23" s="14" t="s">
        <v>284</v>
      </c>
      <c r="I23" s="15">
        <v>0</v>
      </c>
      <c r="J23" s="14" t="s">
        <v>284</v>
      </c>
      <c r="K23" s="15">
        <v>0</v>
      </c>
      <c r="L23" s="14" t="s">
        <v>284</v>
      </c>
      <c r="M23" s="15">
        <v>0</v>
      </c>
      <c r="N23" s="14" t="s">
        <v>284</v>
      </c>
      <c r="O23" s="15">
        <v>0</v>
      </c>
      <c r="P23" s="14">
        <v>17.2</v>
      </c>
      <c r="Q23" s="15">
        <v>0</v>
      </c>
      <c r="R23" s="14">
        <v>2.68</v>
      </c>
      <c r="S23" s="15">
        <v>0</v>
      </c>
      <c r="T23" s="14" t="s">
        <v>284</v>
      </c>
      <c r="U23" s="15">
        <v>0</v>
      </c>
      <c r="V23" s="14">
        <v>289.26</v>
      </c>
      <c r="W23" s="15">
        <v>0</v>
      </c>
      <c r="X23" s="14" t="s">
        <v>284</v>
      </c>
      <c r="Y23" s="15">
        <v>0</v>
      </c>
      <c r="Z23" s="14" t="s">
        <v>284</v>
      </c>
      <c r="AA23" s="15">
        <v>0</v>
      </c>
      <c r="AB23" s="14" t="s">
        <v>284</v>
      </c>
      <c r="AC23" s="15">
        <v>0</v>
      </c>
      <c r="AD23" s="14" t="s">
        <v>284</v>
      </c>
      <c r="AE23" s="15">
        <v>0</v>
      </c>
      <c r="AF23" s="14" t="s">
        <v>284</v>
      </c>
      <c r="AG23" s="15">
        <v>0</v>
      </c>
    </row>
    <row r="24" spans="1:33" x14ac:dyDescent="0.2">
      <c r="A24" s="2" t="s">
        <v>3</v>
      </c>
      <c r="B24" s="3" t="s">
        <v>35</v>
      </c>
      <c r="C24" s="2" t="s">
        <v>93</v>
      </c>
      <c r="D24" s="6" t="s">
        <v>142</v>
      </c>
      <c r="E24" s="12" t="s">
        <v>0</v>
      </c>
      <c r="F24" s="14" t="s">
        <v>284</v>
      </c>
      <c r="G24" s="15">
        <v>0</v>
      </c>
      <c r="H24" s="14" t="s">
        <v>284</v>
      </c>
      <c r="I24" s="15">
        <v>0</v>
      </c>
      <c r="J24" s="14" t="s">
        <v>284</v>
      </c>
      <c r="K24" s="15">
        <v>0</v>
      </c>
      <c r="L24" s="14" t="s">
        <v>284</v>
      </c>
      <c r="M24" s="15">
        <v>0</v>
      </c>
      <c r="N24" s="14" t="s">
        <v>284</v>
      </c>
      <c r="O24" s="15">
        <v>0</v>
      </c>
      <c r="P24" s="14" t="s">
        <v>284</v>
      </c>
      <c r="Q24" s="15">
        <v>0</v>
      </c>
      <c r="R24" s="14" t="s">
        <v>562</v>
      </c>
      <c r="S24" s="15">
        <v>0</v>
      </c>
      <c r="T24" s="14" t="s">
        <v>284</v>
      </c>
      <c r="U24" s="15">
        <v>0</v>
      </c>
      <c r="V24" s="14">
        <v>330.81</v>
      </c>
      <c r="W24" s="15">
        <v>0</v>
      </c>
      <c r="X24" s="14" t="s">
        <v>284</v>
      </c>
      <c r="Y24" s="15">
        <v>0</v>
      </c>
      <c r="Z24" s="14" t="s">
        <v>284</v>
      </c>
      <c r="AA24" s="15">
        <v>0</v>
      </c>
      <c r="AB24" s="14" t="s">
        <v>284</v>
      </c>
      <c r="AC24" s="15">
        <v>0</v>
      </c>
      <c r="AD24" s="14" t="s">
        <v>284</v>
      </c>
      <c r="AE24" s="15">
        <v>0</v>
      </c>
      <c r="AF24" s="14" t="s">
        <v>284</v>
      </c>
      <c r="AG24" s="15">
        <v>0</v>
      </c>
    </row>
    <row r="25" spans="1:33" x14ac:dyDescent="0.2">
      <c r="A25" s="2" t="s">
        <v>3</v>
      </c>
      <c r="B25" s="3" t="s">
        <v>35</v>
      </c>
      <c r="C25" s="2" t="s">
        <v>92</v>
      </c>
      <c r="D25" s="6" t="s">
        <v>143</v>
      </c>
      <c r="E25" s="12" t="s">
        <v>0</v>
      </c>
      <c r="F25" s="14" t="s">
        <v>284</v>
      </c>
      <c r="G25" s="15">
        <v>0</v>
      </c>
      <c r="H25" s="14" t="s">
        <v>284</v>
      </c>
      <c r="I25" s="15">
        <v>0</v>
      </c>
      <c r="J25" s="14" t="s">
        <v>284</v>
      </c>
      <c r="K25" s="15">
        <v>0</v>
      </c>
      <c r="L25" s="14" t="s">
        <v>284</v>
      </c>
      <c r="M25" s="15">
        <v>0</v>
      </c>
      <c r="N25" s="14" t="s">
        <v>558</v>
      </c>
      <c r="O25" s="15">
        <v>0</v>
      </c>
      <c r="P25" s="14">
        <v>46.13</v>
      </c>
      <c r="Q25" s="15">
        <v>0</v>
      </c>
      <c r="R25" s="14">
        <v>5.77</v>
      </c>
      <c r="S25" s="15">
        <v>0</v>
      </c>
      <c r="T25" s="14" t="s">
        <v>563</v>
      </c>
      <c r="U25" s="15">
        <v>0</v>
      </c>
      <c r="V25" s="14">
        <v>291.14999999999998</v>
      </c>
      <c r="W25" s="15">
        <v>0</v>
      </c>
      <c r="X25" s="14" t="s">
        <v>284</v>
      </c>
      <c r="Y25" s="15">
        <v>0</v>
      </c>
      <c r="Z25" s="14" t="s">
        <v>284</v>
      </c>
      <c r="AA25" s="15">
        <v>0</v>
      </c>
      <c r="AB25" s="14" t="s">
        <v>284</v>
      </c>
      <c r="AC25" s="15">
        <v>0</v>
      </c>
      <c r="AD25" s="14" t="s">
        <v>284</v>
      </c>
      <c r="AE25" s="15">
        <v>0</v>
      </c>
      <c r="AF25" s="14" t="s">
        <v>284</v>
      </c>
      <c r="AG25" s="15">
        <v>0</v>
      </c>
    </row>
    <row r="26" spans="1:33" x14ac:dyDescent="0.2">
      <c r="A26" s="2" t="s">
        <v>3</v>
      </c>
      <c r="B26" s="3" t="s">
        <v>35</v>
      </c>
      <c r="C26" s="2" t="s">
        <v>91</v>
      </c>
      <c r="D26" s="6" t="s">
        <v>144</v>
      </c>
      <c r="E26" s="12" t="s">
        <v>0</v>
      </c>
      <c r="F26" s="14" t="s">
        <v>284</v>
      </c>
      <c r="G26" s="15">
        <v>0</v>
      </c>
      <c r="H26" s="14" t="s">
        <v>284</v>
      </c>
      <c r="I26" s="15">
        <v>0</v>
      </c>
      <c r="J26" s="14" t="s">
        <v>284</v>
      </c>
      <c r="K26" s="15">
        <v>0</v>
      </c>
      <c r="L26" s="14" t="s">
        <v>284</v>
      </c>
      <c r="M26" s="15">
        <v>0</v>
      </c>
      <c r="N26" s="14" t="s">
        <v>560</v>
      </c>
      <c r="O26" s="15">
        <v>0</v>
      </c>
      <c r="P26" s="14" t="s">
        <v>284</v>
      </c>
      <c r="Q26" s="15">
        <v>0</v>
      </c>
      <c r="R26" s="14" t="s">
        <v>284</v>
      </c>
      <c r="S26" s="15">
        <v>0</v>
      </c>
      <c r="T26" s="14" t="s">
        <v>284</v>
      </c>
      <c r="U26" s="15">
        <v>0</v>
      </c>
      <c r="V26" s="14">
        <v>178.07</v>
      </c>
      <c r="W26" s="15">
        <v>0</v>
      </c>
      <c r="X26" s="14" t="s">
        <v>284</v>
      </c>
      <c r="Y26" s="15">
        <v>0</v>
      </c>
      <c r="Z26" s="14" t="s">
        <v>284</v>
      </c>
      <c r="AA26" s="15">
        <v>0</v>
      </c>
      <c r="AB26" s="14" t="s">
        <v>284</v>
      </c>
      <c r="AC26" s="15">
        <v>0</v>
      </c>
      <c r="AD26" s="14" t="s">
        <v>284</v>
      </c>
      <c r="AE26" s="15">
        <v>0</v>
      </c>
      <c r="AF26" s="14" t="s">
        <v>284</v>
      </c>
      <c r="AG26" s="15">
        <v>0</v>
      </c>
    </row>
    <row r="27" spans="1:33" x14ac:dyDescent="0.2">
      <c r="A27" s="2" t="s">
        <v>3</v>
      </c>
      <c r="B27" s="3" t="s">
        <v>35</v>
      </c>
      <c r="C27" s="2" t="s">
        <v>90</v>
      </c>
      <c r="D27" s="6" t="s">
        <v>145</v>
      </c>
      <c r="E27" s="12" t="s">
        <v>0</v>
      </c>
      <c r="F27" s="14" t="s">
        <v>284</v>
      </c>
      <c r="G27" s="15">
        <v>0</v>
      </c>
      <c r="H27" s="14" t="s">
        <v>284</v>
      </c>
      <c r="I27" s="15">
        <v>0</v>
      </c>
      <c r="J27" s="14" t="s">
        <v>284</v>
      </c>
      <c r="K27" s="15">
        <v>0</v>
      </c>
      <c r="L27" s="14" t="s">
        <v>284</v>
      </c>
      <c r="M27" s="15">
        <v>0</v>
      </c>
      <c r="N27" s="14" t="s">
        <v>284</v>
      </c>
      <c r="O27" s="15">
        <v>0</v>
      </c>
      <c r="P27" s="14">
        <v>31.76</v>
      </c>
      <c r="Q27" s="15">
        <v>0</v>
      </c>
      <c r="R27" s="14">
        <v>14.94</v>
      </c>
      <c r="S27" s="15">
        <v>0</v>
      </c>
      <c r="T27" s="14">
        <v>2.02</v>
      </c>
      <c r="U27" s="15">
        <v>0</v>
      </c>
      <c r="V27" s="14">
        <v>984.21</v>
      </c>
      <c r="W27" s="15">
        <v>0</v>
      </c>
      <c r="X27" s="14" t="s">
        <v>284</v>
      </c>
      <c r="Y27" s="15">
        <v>0</v>
      </c>
      <c r="Z27" s="14" t="s">
        <v>284</v>
      </c>
      <c r="AA27" s="15">
        <v>0</v>
      </c>
      <c r="AB27" s="14" t="s">
        <v>284</v>
      </c>
      <c r="AC27" s="15">
        <v>0</v>
      </c>
      <c r="AD27" s="14" t="s">
        <v>284</v>
      </c>
      <c r="AE27" s="15">
        <v>0</v>
      </c>
      <c r="AF27" s="14" t="s">
        <v>284</v>
      </c>
      <c r="AG27" s="15">
        <v>0</v>
      </c>
    </row>
    <row r="28" spans="1:33" x14ac:dyDescent="0.2">
      <c r="A28" s="2" t="s">
        <v>3</v>
      </c>
      <c r="B28" s="3" t="s">
        <v>35</v>
      </c>
      <c r="C28" s="2" t="s">
        <v>89</v>
      </c>
      <c r="D28" s="6" t="s">
        <v>146</v>
      </c>
      <c r="E28" s="12" t="s">
        <v>0</v>
      </c>
      <c r="F28" s="14" t="s">
        <v>284</v>
      </c>
      <c r="G28" s="15">
        <v>0</v>
      </c>
      <c r="H28" s="14" t="s">
        <v>284</v>
      </c>
      <c r="I28" s="15">
        <v>0</v>
      </c>
      <c r="J28" s="14" t="s">
        <v>284</v>
      </c>
      <c r="K28" s="15">
        <v>0</v>
      </c>
      <c r="L28" s="14" t="s">
        <v>284</v>
      </c>
      <c r="M28" s="15">
        <v>0</v>
      </c>
      <c r="N28" s="14" t="s">
        <v>560</v>
      </c>
      <c r="O28" s="15">
        <v>0</v>
      </c>
      <c r="P28" s="14">
        <v>14.12</v>
      </c>
      <c r="Q28" s="15">
        <v>0</v>
      </c>
      <c r="R28" s="14" t="s">
        <v>561</v>
      </c>
      <c r="S28" s="15">
        <v>0</v>
      </c>
      <c r="T28" s="14" t="s">
        <v>284</v>
      </c>
      <c r="U28" s="15">
        <v>0</v>
      </c>
      <c r="V28" s="14">
        <v>401.64</v>
      </c>
      <c r="W28" s="15">
        <v>0</v>
      </c>
      <c r="X28" s="14" t="s">
        <v>284</v>
      </c>
      <c r="Y28" s="15">
        <v>0</v>
      </c>
      <c r="Z28" s="14" t="s">
        <v>284</v>
      </c>
      <c r="AA28" s="15">
        <v>0</v>
      </c>
      <c r="AB28" s="14" t="s">
        <v>284</v>
      </c>
      <c r="AC28" s="15">
        <v>0</v>
      </c>
      <c r="AD28" s="14" t="s">
        <v>284</v>
      </c>
      <c r="AE28" s="15">
        <v>0</v>
      </c>
      <c r="AF28" s="14" t="s">
        <v>284</v>
      </c>
      <c r="AG28" s="15">
        <v>0</v>
      </c>
    </row>
    <row r="29" spans="1:33" x14ac:dyDescent="0.2">
      <c r="A29" s="2" t="s">
        <v>3</v>
      </c>
      <c r="B29" s="3" t="s">
        <v>35</v>
      </c>
      <c r="C29" s="2" t="s">
        <v>88</v>
      </c>
      <c r="D29" s="6" t="s">
        <v>147</v>
      </c>
      <c r="E29" s="12" t="s">
        <v>0</v>
      </c>
      <c r="F29" s="14" t="s">
        <v>284</v>
      </c>
      <c r="G29" s="15">
        <v>0</v>
      </c>
      <c r="H29" s="14" t="s">
        <v>284</v>
      </c>
      <c r="I29" s="15">
        <v>0</v>
      </c>
      <c r="J29" s="14" t="s">
        <v>284</v>
      </c>
      <c r="K29" s="15">
        <v>0</v>
      </c>
      <c r="L29" s="14" t="s">
        <v>284</v>
      </c>
      <c r="M29" s="15">
        <v>0</v>
      </c>
      <c r="N29" s="14" t="s">
        <v>560</v>
      </c>
      <c r="O29" s="15">
        <v>0</v>
      </c>
      <c r="P29" s="14" t="s">
        <v>284</v>
      </c>
      <c r="Q29" s="15">
        <v>0</v>
      </c>
      <c r="R29" s="14">
        <v>68.28</v>
      </c>
      <c r="S29" s="15">
        <v>0</v>
      </c>
      <c r="T29" s="14" t="s">
        <v>284</v>
      </c>
      <c r="U29" s="15">
        <v>0</v>
      </c>
      <c r="V29" s="14">
        <v>966.84</v>
      </c>
      <c r="W29" s="15">
        <v>0</v>
      </c>
      <c r="X29" s="14" t="s">
        <v>284</v>
      </c>
      <c r="Y29" s="15">
        <v>0</v>
      </c>
      <c r="Z29" s="14" t="s">
        <v>564</v>
      </c>
      <c r="AA29" s="15">
        <v>0</v>
      </c>
      <c r="AB29" s="14" t="s">
        <v>284</v>
      </c>
      <c r="AC29" s="15">
        <v>0</v>
      </c>
      <c r="AD29" s="14" t="s">
        <v>284</v>
      </c>
      <c r="AE29" s="15">
        <v>0</v>
      </c>
      <c r="AF29" s="14" t="s">
        <v>284</v>
      </c>
      <c r="AG29" s="15">
        <v>0</v>
      </c>
    </row>
    <row r="30" spans="1:33" x14ac:dyDescent="0.2">
      <c r="A30" s="2" t="s">
        <v>3</v>
      </c>
      <c r="B30" s="3" t="s">
        <v>35</v>
      </c>
      <c r="C30" s="2" t="s">
        <v>87</v>
      </c>
      <c r="D30" s="6" t="s">
        <v>148</v>
      </c>
      <c r="E30" s="12" t="s">
        <v>0</v>
      </c>
      <c r="F30" s="14" t="s">
        <v>284</v>
      </c>
      <c r="G30" s="15">
        <v>0</v>
      </c>
      <c r="H30" s="14" t="s">
        <v>284</v>
      </c>
      <c r="I30" s="15">
        <v>0</v>
      </c>
      <c r="J30" s="14" t="s">
        <v>284</v>
      </c>
      <c r="K30" s="15">
        <v>0</v>
      </c>
      <c r="L30" s="14" t="s">
        <v>284</v>
      </c>
      <c r="M30" s="15">
        <v>0</v>
      </c>
      <c r="N30" s="14" t="s">
        <v>284</v>
      </c>
      <c r="O30" s="15">
        <v>0</v>
      </c>
      <c r="P30" s="14" t="s">
        <v>284</v>
      </c>
      <c r="Q30" s="15">
        <v>0</v>
      </c>
      <c r="R30" s="14">
        <v>8.52</v>
      </c>
      <c r="S30" s="15">
        <v>0</v>
      </c>
      <c r="T30" s="14" t="s">
        <v>284</v>
      </c>
      <c r="U30" s="15">
        <v>0</v>
      </c>
      <c r="V30" s="14">
        <v>760.45</v>
      </c>
      <c r="W30" s="15">
        <v>0</v>
      </c>
      <c r="X30" s="14" t="s">
        <v>284</v>
      </c>
      <c r="Y30" s="15">
        <v>0</v>
      </c>
      <c r="Z30" s="14" t="s">
        <v>284</v>
      </c>
      <c r="AA30" s="15">
        <v>0</v>
      </c>
      <c r="AB30" s="14" t="s">
        <v>284</v>
      </c>
      <c r="AC30" s="15">
        <v>0</v>
      </c>
      <c r="AD30" s="14" t="s">
        <v>284</v>
      </c>
      <c r="AE30" s="15">
        <v>0</v>
      </c>
      <c r="AF30" s="14" t="s">
        <v>284</v>
      </c>
      <c r="AG30" s="15">
        <v>0</v>
      </c>
    </row>
    <row r="31" spans="1:33" x14ac:dyDescent="0.2">
      <c r="A31" s="2" t="s">
        <v>3</v>
      </c>
      <c r="B31" s="3" t="s">
        <v>35</v>
      </c>
      <c r="C31" s="2" t="s">
        <v>86</v>
      </c>
      <c r="D31" s="6" t="s">
        <v>149</v>
      </c>
      <c r="E31" s="12" t="s">
        <v>0</v>
      </c>
      <c r="F31" s="14" t="s">
        <v>284</v>
      </c>
      <c r="G31" s="15">
        <v>0</v>
      </c>
      <c r="H31" s="14" t="s">
        <v>284</v>
      </c>
      <c r="I31" s="15">
        <v>0</v>
      </c>
      <c r="J31" s="14" t="s">
        <v>284</v>
      </c>
      <c r="K31" s="15">
        <v>0</v>
      </c>
      <c r="L31" s="14" t="s">
        <v>284</v>
      </c>
      <c r="M31" s="15">
        <v>0</v>
      </c>
      <c r="N31" s="14" t="s">
        <v>284</v>
      </c>
      <c r="O31" s="15">
        <v>0</v>
      </c>
      <c r="P31" s="14" t="s">
        <v>284</v>
      </c>
      <c r="Q31" s="15">
        <v>0</v>
      </c>
      <c r="R31" s="14" t="s">
        <v>565</v>
      </c>
      <c r="S31" s="15">
        <v>0</v>
      </c>
      <c r="T31" s="14" t="s">
        <v>284</v>
      </c>
      <c r="U31" s="15">
        <v>0</v>
      </c>
      <c r="V31" s="14">
        <v>553.75</v>
      </c>
      <c r="W31" s="15">
        <v>0</v>
      </c>
      <c r="X31" s="14" t="s">
        <v>284</v>
      </c>
      <c r="Y31" s="15">
        <v>0</v>
      </c>
      <c r="Z31" s="14" t="s">
        <v>284</v>
      </c>
      <c r="AA31" s="15">
        <v>0</v>
      </c>
      <c r="AB31" s="14" t="s">
        <v>284</v>
      </c>
      <c r="AC31" s="15">
        <v>0</v>
      </c>
      <c r="AD31" s="14" t="s">
        <v>284</v>
      </c>
      <c r="AE31" s="15">
        <v>0</v>
      </c>
      <c r="AF31" s="14" t="s">
        <v>284</v>
      </c>
      <c r="AG31" s="15">
        <v>0</v>
      </c>
    </row>
    <row r="32" spans="1:33" x14ac:dyDescent="0.2">
      <c r="A32" s="2" t="s">
        <v>3</v>
      </c>
      <c r="B32" s="3" t="s">
        <v>35</v>
      </c>
      <c r="C32" s="2" t="s">
        <v>85</v>
      </c>
      <c r="D32" s="6" t="s">
        <v>150</v>
      </c>
      <c r="E32" s="12" t="s">
        <v>0</v>
      </c>
      <c r="F32" s="14" t="s">
        <v>284</v>
      </c>
      <c r="G32" s="15">
        <v>0</v>
      </c>
      <c r="H32" s="14" t="s">
        <v>284</v>
      </c>
      <c r="I32" s="15">
        <v>0</v>
      </c>
      <c r="J32" s="14" t="s">
        <v>284</v>
      </c>
      <c r="K32" s="15">
        <v>0</v>
      </c>
      <c r="L32" s="14" t="s">
        <v>284</v>
      </c>
      <c r="M32" s="15">
        <v>0</v>
      </c>
      <c r="N32" s="14" t="s">
        <v>560</v>
      </c>
      <c r="O32" s="15">
        <v>0</v>
      </c>
      <c r="P32" s="14">
        <v>148.62</v>
      </c>
      <c r="Q32" s="15">
        <v>0</v>
      </c>
      <c r="R32" s="14">
        <v>34.6</v>
      </c>
      <c r="S32" s="15">
        <v>0</v>
      </c>
      <c r="T32" s="14">
        <v>195.65</v>
      </c>
      <c r="U32" s="15">
        <v>0</v>
      </c>
      <c r="V32" s="14">
        <v>2079.09</v>
      </c>
      <c r="W32" s="15">
        <v>0</v>
      </c>
      <c r="X32" s="14" t="s">
        <v>284</v>
      </c>
      <c r="Y32" s="15">
        <v>0</v>
      </c>
      <c r="Z32" s="14" t="s">
        <v>284</v>
      </c>
      <c r="AA32" s="15">
        <v>0</v>
      </c>
      <c r="AB32" s="14" t="s">
        <v>284</v>
      </c>
      <c r="AC32" s="15">
        <v>0</v>
      </c>
      <c r="AD32" s="14" t="s">
        <v>284</v>
      </c>
      <c r="AE32" s="15">
        <v>0</v>
      </c>
      <c r="AF32" s="14" t="s">
        <v>284</v>
      </c>
      <c r="AG32" s="15">
        <v>0</v>
      </c>
    </row>
    <row r="33" spans="1:33" x14ac:dyDescent="0.2">
      <c r="A33" s="2" t="s">
        <v>3</v>
      </c>
      <c r="B33" s="3" t="s">
        <v>35</v>
      </c>
      <c r="C33" s="2" t="s">
        <v>84</v>
      </c>
      <c r="D33" s="6" t="s">
        <v>151</v>
      </c>
      <c r="E33" s="12" t="s">
        <v>0</v>
      </c>
      <c r="F33" s="14" t="s">
        <v>284</v>
      </c>
      <c r="G33" s="15">
        <v>0</v>
      </c>
      <c r="H33" s="14" t="s">
        <v>284</v>
      </c>
      <c r="I33" s="15">
        <v>0</v>
      </c>
      <c r="J33" s="14" t="s">
        <v>284</v>
      </c>
      <c r="K33" s="15">
        <v>0</v>
      </c>
      <c r="L33" s="14" t="s">
        <v>284</v>
      </c>
      <c r="M33" s="15">
        <v>0</v>
      </c>
      <c r="N33" s="14">
        <v>9.36</v>
      </c>
      <c r="O33" s="15">
        <v>0</v>
      </c>
      <c r="P33" s="14">
        <v>36.630000000000003</v>
      </c>
      <c r="Q33" s="15">
        <v>0</v>
      </c>
      <c r="R33" s="14">
        <v>123.52</v>
      </c>
      <c r="S33" s="15">
        <v>0</v>
      </c>
      <c r="T33" s="14">
        <v>32.6</v>
      </c>
      <c r="U33" s="15">
        <v>0</v>
      </c>
      <c r="V33" s="14">
        <v>2612.85</v>
      </c>
      <c r="W33" s="15">
        <v>0</v>
      </c>
      <c r="X33" s="14" t="s">
        <v>284</v>
      </c>
      <c r="Y33" s="15">
        <v>0</v>
      </c>
      <c r="Z33" s="14" t="s">
        <v>284</v>
      </c>
      <c r="AA33" s="15">
        <v>0</v>
      </c>
      <c r="AB33" s="14" t="s">
        <v>284</v>
      </c>
      <c r="AC33" s="15">
        <v>0</v>
      </c>
      <c r="AD33" s="14" t="s">
        <v>284</v>
      </c>
      <c r="AE33" s="15">
        <v>0</v>
      </c>
      <c r="AF33" s="14" t="s">
        <v>284</v>
      </c>
      <c r="AG33" s="15">
        <v>0</v>
      </c>
    </row>
    <row r="34" spans="1:33" x14ac:dyDescent="0.2">
      <c r="A34" s="2" t="s">
        <v>3</v>
      </c>
      <c r="B34" s="3" t="s">
        <v>35</v>
      </c>
      <c r="C34" s="2" t="s">
        <v>83</v>
      </c>
      <c r="D34" s="6" t="s">
        <v>152</v>
      </c>
      <c r="E34" s="12" t="s">
        <v>0</v>
      </c>
      <c r="F34" s="14" t="s">
        <v>284</v>
      </c>
      <c r="G34" s="15">
        <v>0</v>
      </c>
      <c r="H34" s="14" t="s">
        <v>284</v>
      </c>
      <c r="I34" s="15">
        <v>0</v>
      </c>
      <c r="J34" s="14" t="s">
        <v>284</v>
      </c>
      <c r="K34" s="15">
        <v>0</v>
      </c>
      <c r="L34" s="14" t="s">
        <v>284</v>
      </c>
      <c r="M34" s="15">
        <v>0</v>
      </c>
      <c r="N34" s="14">
        <v>9.36</v>
      </c>
      <c r="O34" s="15">
        <v>0</v>
      </c>
      <c r="P34" s="14">
        <v>645.66999999999996</v>
      </c>
      <c r="Q34" s="15">
        <v>0</v>
      </c>
      <c r="R34" s="14">
        <v>38.44</v>
      </c>
      <c r="S34" s="15">
        <v>0</v>
      </c>
      <c r="T34" s="14">
        <v>22.74</v>
      </c>
      <c r="U34" s="15">
        <v>0</v>
      </c>
      <c r="V34" s="14">
        <v>391.24</v>
      </c>
      <c r="W34" s="15">
        <v>0</v>
      </c>
      <c r="X34" s="14" t="s">
        <v>284</v>
      </c>
      <c r="Y34" s="15">
        <v>0</v>
      </c>
      <c r="Z34" s="14" t="s">
        <v>284</v>
      </c>
      <c r="AA34" s="15">
        <v>0</v>
      </c>
      <c r="AB34" s="14" t="s">
        <v>284</v>
      </c>
      <c r="AC34" s="15">
        <v>0</v>
      </c>
      <c r="AD34" s="14" t="s">
        <v>284</v>
      </c>
      <c r="AE34" s="15">
        <v>0</v>
      </c>
      <c r="AF34" s="14" t="s">
        <v>284</v>
      </c>
      <c r="AG34" s="15">
        <v>0</v>
      </c>
    </row>
    <row r="35" spans="1:33" x14ac:dyDescent="0.2">
      <c r="A35" s="2" t="s">
        <v>3</v>
      </c>
      <c r="B35" s="3" t="s">
        <v>35</v>
      </c>
      <c r="C35" s="2" t="s">
        <v>82</v>
      </c>
      <c r="D35" s="6" t="s">
        <v>153</v>
      </c>
      <c r="E35" s="12" t="s">
        <v>0</v>
      </c>
      <c r="F35" s="14" t="s">
        <v>284</v>
      </c>
      <c r="G35" s="15">
        <v>0</v>
      </c>
      <c r="H35" s="14" t="s">
        <v>284</v>
      </c>
      <c r="I35" s="15">
        <v>0</v>
      </c>
      <c r="J35" s="14" t="s">
        <v>284</v>
      </c>
      <c r="K35" s="15">
        <v>0</v>
      </c>
      <c r="L35" s="14" t="s">
        <v>284</v>
      </c>
      <c r="M35" s="15">
        <v>0</v>
      </c>
      <c r="N35" s="14" t="s">
        <v>284</v>
      </c>
      <c r="O35" s="15">
        <v>0</v>
      </c>
      <c r="P35" s="14">
        <v>59.92</v>
      </c>
      <c r="Q35" s="15">
        <v>0</v>
      </c>
      <c r="R35" s="14">
        <v>44.69</v>
      </c>
      <c r="S35" s="15">
        <v>0</v>
      </c>
      <c r="T35" s="14">
        <v>18.989999999999998</v>
      </c>
      <c r="U35" s="15">
        <v>0</v>
      </c>
      <c r="V35" s="14">
        <v>1411.33</v>
      </c>
      <c r="W35" s="15">
        <v>0</v>
      </c>
      <c r="X35" s="14" t="s">
        <v>284</v>
      </c>
      <c r="Y35" s="15">
        <v>0</v>
      </c>
      <c r="Z35" s="14" t="s">
        <v>284</v>
      </c>
      <c r="AA35" s="15">
        <v>0</v>
      </c>
      <c r="AB35" s="14" t="s">
        <v>284</v>
      </c>
      <c r="AC35" s="15">
        <v>0</v>
      </c>
      <c r="AD35" s="14" t="s">
        <v>284</v>
      </c>
      <c r="AE35" s="15">
        <v>0</v>
      </c>
      <c r="AF35" s="14" t="s">
        <v>284</v>
      </c>
      <c r="AG35" s="15">
        <v>0</v>
      </c>
    </row>
    <row r="36" spans="1:33" x14ac:dyDescent="0.2">
      <c r="A36" s="2" t="s">
        <v>3</v>
      </c>
      <c r="B36" s="3" t="s">
        <v>35</v>
      </c>
      <c r="C36" s="2" t="s">
        <v>81</v>
      </c>
      <c r="D36" s="6" t="s">
        <v>154</v>
      </c>
      <c r="E36" s="12" t="s">
        <v>0</v>
      </c>
      <c r="F36" s="14" t="s">
        <v>284</v>
      </c>
      <c r="G36" s="15">
        <v>0</v>
      </c>
      <c r="H36" s="14" t="s">
        <v>284</v>
      </c>
      <c r="I36" s="15">
        <v>0</v>
      </c>
      <c r="J36" s="14" t="s">
        <v>284</v>
      </c>
      <c r="K36" s="15">
        <v>0</v>
      </c>
      <c r="L36" s="14" t="s">
        <v>284</v>
      </c>
      <c r="M36" s="15">
        <v>0</v>
      </c>
      <c r="N36" s="14" t="s">
        <v>284</v>
      </c>
      <c r="O36" s="15">
        <v>0</v>
      </c>
      <c r="P36" s="14">
        <v>32.46</v>
      </c>
      <c r="Q36" s="15">
        <v>0</v>
      </c>
      <c r="R36" s="14">
        <v>9.42</v>
      </c>
      <c r="S36" s="15">
        <v>0</v>
      </c>
      <c r="T36" s="14" t="s">
        <v>284</v>
      </c>
      <c r="U36" s="15">
        <v>0</v>
      </c>
      <c r="V36" s="14">
        <v>1058.3800000000001</v>
      </c>
      <c r="W36" s="15">
        <v>0</v>
      </c>
      <c r="X36" s="14" t="s">
        <v>284</v>
      </c>
      <c r="Y36" s="15">
        <v>0</v>
      </c>
      <c r="Z36" s="14" t="s">
        <v>284</v>
      </c>
      <c r="AA36" s="15">
        <v>0</v>
      </c>
      <c r="AB36" s="14" t="s">
        <v>284</v>
      </c>
      <c r="AC36" s="15">
        <v>0</v>
      </c>
      <c r="AD36" s="14" t="s">
        <v>284</v>
      </c>
      <c r="AE36" s="15">
        <v>0</v>
      </c>
      <c r="AF36" s="14" t="s">
        <v>284</v>
      </c>
      <c r="AG36" s="15">
        <v>0</v>
      </c>
    </row>
    <row r="37" spans="1:33" x14ac:dyDescent="0.2">
      <c r="A37" s="2" t="s">
        <v>3</v>
      </c>
      <c r="B37" s="3" t="s">
        <v>35</v>
      </c>
      <c r="C37" s="2" t="s">
        <v>80</v>
      </c>
      <c r="D37" s="6" t="s">
        <v>155</v>
      </c>
      <c r="E37" s="12" t="s">
        <v>0</v>
      </c>
      <c r="F37" s="14" t="s">
        <v>284</v>
      </c>
      <c r="G37" s="15">
        <v>0</v>
      </c>
      <c r="H37" s="14" t="s">
        <v>284</v>
      </c>
      <c r="I37" s="15">
        <v>0</v>
      </c>
      <c r="J37" s="14" t="s">
        <v>284</v>
      </c>
      <c r="K37" s="15">
        <v>0</v>
      </c>
      <c r="L37" s="14" t="s">
        <v>284</v>
      </c>
      <c r="M37" s="15">
        <v>0</v>
      </c>
      <c r="N37" s="14" t="s">
        <v>558</v>
      </c>
      <c r="O37" s="15">
        <v>0</v>
      </c>
      <c r="P37" s="14" t="s">
        <v>284</v>
      </c>
      <c r="Q37" s="15">
        <v>0</v>
      </c>
      <c r="R37" s="14" t="s">
        <v>566</v>
      </c>
      <c r="S37" s="15">
        <v>0</v>
      </c>
      <c r="T37" s="14" t="s">
        <v>284</v>
      </c>
      <c r="U37" s="15">
        <v>0</v>
      </c>
      <c r="V37" s="14">
        <v>294.93</v>
      </c>
      <c r="W37" s="15">
        <v>0</v>
      </c>
      <c r="X37" s="14" t="s">
        <v>284</v>
      </c>
      <c r="Y37" s="15">
        <v>0</v>
      </c>
      <c r="Z37" s="14" t="s">
        <v>284</v>
      </c>
      <c r="AA37" s="15">
        <v>0</v>
      </c>
      <c r="AB37" s="14" t="s">
        <v>284</v>
      </c>
      <c r="AC37" s="15">
        <v>0</v>
      </c>
      <c r="AD37" s="14" t="s">
        <v>284</v>
      </c>
      <c r="AE37" s="15">
        <v>0</v>
      </c>
      <c r="AF37" s="14" t="s">
        <v>284</v>
      </c>
      <c r="AG37" s="15">
        <v>0</v>
      </c>
    </row>
    <row r="38" spans="1:33" x14ac:dyDescent="0.2">
      <c r="A38" s="2" t="s">
        <v>3</v>
      </c>
      <c r="B38" s="3" t="s">
        <v>35</v>
      </c>
      <c r="C38" s="2" t="s">
        <v>79</v>
      </c>
      <c r="D38" s="6" t="s">
        <v>156</v>
      </c>
      <c r="E38" s="12" t="s">
        <v>0</v>
      </c>
      <c r="F38" s="14" t="s">
        <v>284</v>
      </c>
      <c r="G38" s="15">
        <v>0</v>
      </c>
      <c r="H38" s="14" t="s">
        <v>284</v>
      </c>
      <c r="I38" s="15">
        <v>0</v>
      </c>
      <c r="J38" s="14" t="s">
        <v>284</v>
      </c>
      <c r="K38" s="15">
        <v>0</v>
      </c>
      <c r="L38" s="14" t="s">
        <v>284</v>
      </c>
      <c r="M38" s="15">
        <v>0</v>
      </c>
      <c r="N38" s="14" t="s">
        <v>284</v>
      </c>
      <c r="O38" s="15">
        <v>0</v>
      </c>
      <c r="P38" s="14">
        <v>36.630000000000003</v>
      </c>
      <c r="Q38" s="15">
        <v>0</v>
      </c>
      <c r="R38" s="14">
        <v>12.03</v>
      </c>
      <c r="S38" s="15">
        <v>0</v>
      </c>
      <c r="T38" s="14" t="s">
        <v>284</v>
      </c>
      <c r="U38" s="15">
        <v>0</v>
      </c>
      <c r="V38" s="14">
        <v>362.9</v>
      </c>
      <c r="W38" s="15">
        <v>0</v>
      </c>
      <c r="X38" s="14" t="s">
        <v>284</v>
      </c>
      <c r="Y38" s="15">
        <v>0</v>
      </c>
      <c r="Z38" s="14" t="s">
        <v>284</v>
      </c>
      <c r="AA38" s="15">
        <v>0</v>
      </c>
      <c r="AB38" s="14" t="s">
        <v>284</v>
      </c>
      <c r="AC38" s="15">
        <v>0</v>
      </c>
      <c r="AD38" s="14" t="s">
        <v>284</v>
      </c>
      <c r="AE38" s="15">
        <v>0</v>
      </c>
      <c r="AF38" s="14" t="s">
        <v>284</v>
      </c>
      <c r="AG38" s="15">
        <v>0</v>
      </c>
    </row>
    <row r="39" spans="1:33" x14ac:dyDescent="0.2">
      <c r="A39" s="2" t="s">
        <v>3</v>
      </c>
      <c r="B39" s="3" t="s">
        <v>35</v>
      </c>
      <c r="C39" s="2" t="s">
        <v>78</v>
      </c>
      <c r="D39" s="6" t="s">
        <v>157</v>
      </c>
      <c r="E39" s="12" t="s">
        <v>0</v>
      </c>
      <c r="F39" s="14" t="s">
        <v>284</v>
      </c>
      <c r="G39" s="15">
        <v>0</v>
      </c>
      <c r="H39" s="14" t="s">
        <v>284</v>
      </c>
      <c r="I39" s="15">
        <v>0</v>
      </c>
      <c r="J39" s="14" t="s">
        <v>284</v>
      </c>
      <c r="K39" s="15">
        <v>0</v>
      </c>
      <c r="L39" s="14" t="s">
        <v>284</v>
      </c>
      <c r="M39" s="15">
        <v>0</v>
      </c>
      <c r="N39" s="14" t="s">
        <v>558</v>
      </c>
      <c r="O39" s="15">
        <v>0</v>
      </c>
      <c r="P39" s="14">
        <v>183.71</v>
      </c>
      <c r="Q39" s="15">
        <v>0</v>
      </c>
      <c r="R39" s="14">
        <v>14.13</v>
      </c>
      <c r="S39" s="15">
        <v>0</v>
      </c>
      <c r="T39" s="14" t="s">
        <v>567</v>
      </c>
      <c r="U39" s="15">
        <v>0</v>
      </c>
      <c r="V39" s="14">
        <v>290.2</v>
      </c>
      <c r="W39" s="15">
        <v>0</v>
      </c>
      <c r="X39" s="14" t="s">
        <v>284</v>
      </c>
      <c r="Y39" s="15">
        <v>0</v>
      </c>
      <c r="Z39" s="14" t="s">
        <v>284</v>
      </c>
      <c r="AA39" s="15">
        <v>0</v>
      </c>
      <c r="AB39" s="14" t="s">
        <v>284</v>
      </c>
      <c r="AC39" s="15">
        <v>0</v>
      </c>
      <c r="AD39" s="14" t="s">
        <v>284</v>
      </c>
      <c r="AE39" s="15">
        <v>0</v>
      </c>
      <c r="AF39" s="14" t="s">
        <v>284</v>
      </c>
      <c r="AG39" s="15">
        <v>0</v>
      </c>
    </row>
    <row r="40" spans="1:33" x14ac:dyDescent="0.2">
      <c r="A40" s="2" t="s">
        <v>3</v>
      </c>
      <c r="B40" s="3" t="s">
        <v>35</v>
      </c>
      <c r="C40" s="2" t="s">
        <v>77</v>
      </c>
      <c r="D40" s="6" t="s">
        <v>158</v>
      </c>
      <c r="E40" s="12" t="s">
        <v>0</v>
      </c>
      <c r="F40" s="14" t="s">
        <v>284</v>
      </c>
      <c r="G40" s="15">
        <v>0</v>
      </c>
      <c r="H40" s="14" t="s">
        <v>284</v>
      </c>
      <c r="I40" s="15">
        <v>0</v>
      </c>
      <c r="J40" s="14" t="s">
        <v>284</v>
      </c>
      <c r="K40" s="15">
        <v>0</v>
      </c>
      <c r="L40" s="14" t="s">
        <v>284</v>
      </c>
      <c r="M40" s="15">
        <v>0</v>
      </c>
      <c r="N40" s="14" t="s">
        <v>284</v>
      </c>
      <c r="O40" s="15">
        <v>0</v>
      </c>
      <c r="P40" s="14">
        <v>63.78</v>
      </c>
      <c r="Q40" s="15">
        <v>0</v>
      </c>
      <c r="R40" s="14">
        <v>23.43</v>
      </c>
      <c r="S40" s="15">
        <v>0</v>
      </c>
      <c r="T40" s="14" t="s">
        <v>568</v>
      </c>
      <c r="U40" s="15">
        <v>0</v>
      </c>
      <c r="V40" s="14">
        <v>646.19000000000005</v>
      </c>
      <c r="W40" s="15">
        <v>0</v>
      </c>
      <c r="X40" s="14" t="s">
        <v>284</v>
      </c>
      <c r="Y40" s="15">
        <v>0</v>
      </c>
      <c r="Z40" s="14" t="s">
        <v>284</v>
      </c>
      <c r="AA40" s="15">
        <v>0</v>
      </c>
      <c r="AB40" s="14" t="s">
        <v>284</v>
      </c>
      <c r="AC40" s="15">
        <v>0</v>
      </c>
      <c r="AD40" s="14" t="s">
        <v>284</v>
      </c>
      <c r="AE40" s="15">
        <v>0</v>
      </c>
      <c r="AF40" s="14" t="s">
        <v>284</v>
      </c>
      <c r="AG40" s="15">
        <v>0</v>
      </c>
    </row>
    <row r="41" spans="1:33" x14ac:dyDescent="0.2">
      <c r="A41" s="2" t="s">
        <v>3</v>
      </c>
      <c r="B41" s="3" t="s">
        <v>35</v>
      </c>
      <c r="C41" s="2" t="s">
        <v>76</v>
      </c>
      <c r="D41" s="6" t="s">
        <v>159</v>
      </c>
      <c r="E41" s="12" t="s">
        <v>0</v>
      </c>
      <c r="F41" s="14" t="s">
        <v>284</v>
      </c>
      <c r="G41" s="15">
        <v>0</v>
      </c>
      <c r="H41" s="14" t="s">
        <v>284</v>
      </c>
      <c r="I41" s="15">
        <v>0</v>
      </c>
      <c r="J41" s="14" t="s">
        <v>284</v>
      </c>
      <c r="K41" s="15">
        <v>0</v>
      </c>
      <c r="L41" s="14" t="s">
        <v>284</v>
      </c>
      <c r="M41" s="15">
        <v>0</v>
      </c>
      <c r="N41" s="14" t="s">
        <v>558</v>
      </c>
      <c r="O41" s="15">
        <v>0</v>
      </c>
      <c r="P41" s="14">
        <v>591.79</v>
      </c>
      <c r="Q41" s="15">
        <v>0</v>
      </c>
      <c r="R41" s="14">
        <v>152.01</v>
      </c>
      <c r="S41" s="15">
        <v>0</v>
      </c>
      <c r="T41" s="14">
        <v>320.95</v>
      </c>
      <c r="U41" s="15">
        <v>0</v>
      </c>
      <c r="V41" s="14">
        <v>2976.73</v>
      </c>
      <c r="W41" s="15">
        <v>0</v>
      </c>
      <c r="X41" s="14" t="s">
        <v>284</v>
      </c>
      <c r="Y41" s="15">
        <v>0</v>
      </c>
      <c r="Z41" s="14" t="s">
        <v>284</v>
      </c>
      <c r="AA41" s="15">
        <v>0</v>
      </c>
      <c r="AB41" s="14" t="s">
        <v>284</v>
      </c>
      <c r="AC41" s="15">
        <v>0</v>
      </c>
      <c r="AD41" s="14" t="s">
        <v>284</v>
      </c>
      <c r="AE41" s="15">
        <v>0</v>
      </c>
      <c r="AF41" s="14" t="s">
        <v>284</v>
      </c>
      <c r="AG41" s="15">
        <v>0</v>
      </c>
    </row>
    <row r="42" spans="1:33" x14ac:dyDescent="0.2">
      <c r="A42" s="2" t="s">
        <v>3</v>
      </c>
      <c r="B42" s="3" t="s">
        <v>35</v>
      </c>
      <c r="C42" s="2" t="s">
        <v>75</v>
      </c>
      <c r="D42" s="6" t="s">
        <v>160</v>
      </c>
      <c r="E42" s="12" t="s">
        <v>0</v>
      </c>
      <c r="F42" s="14" t="s">
        <v>284</v>
      </c>
      <c r="G42" s="15">
        <v>0</v>
      </c>
      <c r="H42" s="14" t="s">
        <v>284</v>
      </c>
      <c r="I42" s="15">
        <v>0</v>
      </c>
      <c r="J42" s="14" t="s">
        <v>284</v>
      </c>
      <c r="K42" s="15">
        <v>0</v>
      </c>
      <c r="L42" s="14" t="s">
        <v>284</v>
      </c>
      <c r="M42" s="15">
        <v>0</v>
      </c>
      <c r="N42" s="14" t="s">
        <v>560</v>
      </c>
      <c r="O42" s="15">
        <v>0</v>
      </c>
      <c r="P42" s="14">
        <v>17.2</v>
      </c>
      <c r="Q42" s="15">
        <v>0</v>
      </c>
      <c r="R42" s="14">
        <v>17.510000000000002</v>
      </c>
      <c r="S42" s="15">
        <v>0</v>
      </c>
      <c r="T42" s="14">
        <v>3.88</v>
      </c>
      <c r="U42" s="15">
        <v>0</v>
      </c>
      <c r="V42" s="14">
        <v>867.75</v>
      </c>
      <c r="W42" s="15">
        <v>0</v>
      </c>
      <c r="X42" s="14" t="s">
        <v>284</v>
      </c>
      <c r="Y42" s="15">
        <v>0</v>
      </c>
      <c r="Z42" s="14" t="s">
        <v>284</v>
      </c>
      <c r="AA42" s="15">
        <v>0</v>
      </c>
      <c r="AB42" s="14" t="s">
        <v>284</v>
      </c>
      <c r="AC42" s="15">
        <v>0</v>
      </c>
      <c r="AD42" s="14" t="s">
        <v>284</v>
      </c>
      <c r="AE42" s="15">
        <v>0</v>
      </c>
      <c r="AF42" s="14" t="s">
        <v>284</v>
      </c>
      <c r="AG42" s="15">
        <v>0</v>
      </c>
    </row>
    <row r="43" spans="1:33" x14ac:dyDescent="0.2">
      <c r="A43" s="2" t="s">
        <v>3</v>
      </c>
      <c r="B43" s="3" t="s">
        <v>35</v>
      </c>
      <c r="C43" s="2" t="s">
        <v>74</v>
      </c>
      <c r="D43" s="6" t="s">
        <v>161</v>
      </c>
      <c r="E43" s="12" t="s">
        <v>0</v>
      </c>
      <c r="F43" s="14" t="s">
        <v>284</v>
      </c>
      <c r="G43" s="15">
        <v>0</v>
      </c>
      <c r="H43" s="14" t="s">
        <v>284</v>
      </c>
      <c r="I43" s="15">
        <v>0</v>
      </c>
      <c r="J43" s="14" t="s">
        <v>284</v>
      </c>
      <c r="K43" s="15">
        <v>0</v>
      </c>
      <c r="L43" s="14" t="s">
        <v>284</v>
      </c>
      <c r="M43" s="15">
        <v>0</v>
      </c>
      <c r="N43" s="14">
        <v>9.36</v>
      </c>
      <c r="O43" s="15">
        <v>0</v>
      </c>
      <c r="P43" s="14">
        <v>91.91</v>
      </c>
      <c r="Q43" s="15">
        <v>0</v>
      </c>
      <c r="R43" s="14">
        <v>21.35</v>
      </c>
      <c r="S43" s="15">
        <v>0</v>
      </c>
      <c r="T43" s="14">
        <v>2.52</v>
      </c>
      <c r="U43" s="15">
        <v>0</v>
      </c>
      <c r="V43" s="14">
        <v>415.83</v>
      </c>
      <c r="W43" s="15">
        <v>0</v>
      </c>
      <c r="X43" s="14" t="s">
        <v>284</v>
      </c>
      <c r="Y43" s="15">
        <v>0</v>
      </c>
      <c r="Z43" s="14" t="s">
        <v>284</v>
      </c>
      <c r="AA43" s="15">
        <v>0</v>
      </c>
      <c r="AB43" s="14" t="s">
        <v>284</v>
      </c>
      <c r="AC43" s="15">
        <v>0</v>
      </c>
      <c r="AD43" s="14" t="s">
        <v>284</v>
      </c>
      <c r="AE43" s="15">
        <v>0</v>
      </c>
      <c r="AF43" s="14" t="s">
        <v>284</v>
      </c>
      <c r="AG43" s="15">
        <v>0</v>
      </c>
    </row>
    <row r="44" spans="1:33" x14ac:dyDescent="0.2">
      <c r="A44" s="2" t="s">
        <v>3</v>
      </c>
      <c r="B44" s="3" t="s">
        <v>35</v>
      </c>
      <c r="C44" s="2" t="s">
        <v>73</v>
      </c>
      <c r="D44" s="6" t="s">
        <v>162</v>
      </c>
      <c r="E44" s="12" t="s">
        <v>0</v>
      </c>
      <c r="F44" s="14" t="s">
        <v>284</v>
      </c>
      <c r="G44" s="15">
        <v>0</v>
      </c>
      <c r="H44" s="14" t="s">
        <v>284</v>
      </c>
      <c r="I44" s="15">
        <v>0</v>
      </c>
      <c r="J44" s="14" t="s">
        <v>284</v>
      </c>
      <c r="K44" s="15">
        <v>0</v>
      </c>
      <c r="L44" s="14" t="s">
        <v>284</v>
      </c>
      <c r="M44" s="15">
        <v>0</v>
      </c>
      <c r="N44" s="14" t="s">
        <v>284</v>
      </c>
      <c r="O44" s="15">
        <v>0</v>
      </c>
      <c r="P44" s="14">
        <v>99.21</v>
      </c>
      <c r="Q44" s="15">
        <v>0</v>
      </c>
      <c r="R44" s="14">
        <v>16.55</v>
      </c>
      <c r="S44" s="15">
        <v>0</v>
      </c>
      <c r="T44" s="14" t="s">
        <v>569</v>
      </c>
      <c r="U44" s="15">
        <v>0</v>
      </c>
      <c r="V44" s="14">
        <v>784.13</v>
      </c>
      <c r="W44" s="15">
        <v>0</v>
      </c>
      <c r="X44" s="14" t="s">
        <v>284</v>
      </c>
      <c r="Y44" s="15">
        <v>0</v>
      </c>
      <c r="Z44" s="14" t="s">
        <v>284</v>
      </c>
      <c r="AA44" s="15">
        <v>0</v>
      </c>
      <c r="AB44" s="14" t="s">
        <v>284</v>
      </c>
      <c r="AC44" s="15">
        <v>0</v>
      </c>
      <c r="AD44" s="14" t="s">
        <v>284</v>
      </c>
      <c r="AE44" s="15">
        <v>0</v>
      </c>
      <c r="AF44" s="14" t="s">
        <v>284</v>
      </c>
      <c r="AG44" s="15">
        <v>0</v>
      </c>
    </row>
    <row r="45" spans="1:33" x14ac:dyDescent="0.2">
      <c r="A45" s="2" t="s">
        <v>3</v>
      </c>
      <c r="B45" s="3" t="s">
        <v>35</v>
      </c>
      <c r="C45" s="2" t="s">
        <v>72</v>
      </c>
      <c r="D45" s="6" t="s">
        <v>163</v>
      </c>
      <c r="E45" s="12" t="s">
        <v>0</v>
      </c>
      <c r="F45" s="14" t="s">
        <v>284</v>
      </c>
      <c r="G45" s="15">
        <v>0</v>
      </c>
      <c r="H45" s="14" t="s">
        <v>284</v>
      </c>
      <c r="I45" s="15">
        <v>0</v>
      </c>
      <c r="J45" s="14" t="s">
        <v>284</v>
      </c>
      <c r="K45" s="15">
        <v>0</v>
      </c>
      <c r="L45" s="14" t="s">
        <v>284</v>
      </c>
      <c r="M45" s="15">
        <v>0</v>
      </c>
      <c r="N45" s="14" t="s">
        <v>554</v>
      </c>
      <c r="O45" s="15">
        <v>0</v>
      </c>
      <c r="P45" s="14">
        <v>27.51</v>
      </c>
      <c r="Q45" s="15">
        <v>0</v>
      </c>
      <c r="R45" s="14">
        <v>6.61</v>
      </c>
      <c r="S45" s="15">
        <v>0</v>
      </c>
      <c r="T45" s="14" t="s">
        <v>284</v>
      </c>
      <c r="U45" s="15">
        <v>0</v>
      </c>
      <c r="V45" s="14">
        <v>429.08</v>
      </c>
      <c r="W45" s="15">
        <v>0</v>
      </c>
      <c r="X45" s="14" t="s">
        <v>284</v>
      </c>
      <c r="Y45" s="15">
        <v>0</v>
      </c>
      <c r="Z45" s="14" t="s">
        <v>284</v>
      </c>
      <c r="AA45" s="15">
        <v>0</v>
      </c>
      <c r="AB45" s="14" t="s">
        <v>284</v>
      </c>
      <c r="AC45" s="15">
        <v>0</v>
      </c>
      <c r="AD45" s="14" t="s">
        <v>284</v>
      </c>
      <c r="AE45" s="15">
        <v>0</v>
      </c>
      <c r="AF45" s="14" t="s">
        <v>284</v>
      </c>
      <c r="AG45" s="15">
        <v>0</v>
      </c>
    </row>
    <row r="46" spans="1:33" x14ac:dyDescent="0.2">
      <c r="A46" s="2" t="s">
        <v>3</v>
      </c>
      <c r="B46" s="3" t="s">
        <v>35</v>
      </c>
      <c r="C46" s="2" t="s">
        <v>71</v>
      </c>
      <c r="D46" s="6" t="s">
        <v>164</v>
      </c>
      <c r="E46" s="12" t="s">
        <v>0</v>
      </c>
      <c r="F46" s="14" t="s">
        <v>284</v>
      </c>
      <c r="G46" s="15">
        <v>0</v>
      </c>
      <c r="H46" s="14" t="s">
        <v>284</v>
      </c>
      <c r="I46" s="15">
        <v>0</v>
      </c>
      <c r="J46" s="14" t="s">
        <v>284</v>
      </c>
      <c r="K46" s="15">
        <v>0</v>
      </c>
      <c r="L46" s="14" t="s">
        <v>284</v>
      </c>
      <c r="M46" s="15">
        <v>0</v>
      </c>
      <c r="N46" s="14" t="s">
        <v>560</v>
      </c>
      <c r="O46" s="15">
        <v>0</v>
      </c>
      <c r="P46" s="14">
        <v>84.53</v>
      </c>
      <c r="Q46" s="15">
        <v>0</v>
      </c>
      <c r="R46" s="14">
        <v>22.95</v>
      </c>
      <c r="S46" s="15">
        <v>0</v>
      </c>
      <c r="T46" s="14" t="s">
        <v>570</v>
      </c>
      <c r="U46" s="15">
        <v>0</v>
      </c>
      <c r="V46" s="14">
        <v>288.31</v>
      </c>
      <c r="W46" s="15">
        <v>0</v>
      </c>
      <c r="X46" s="14" t="s">
        <v>284</v>
      </c>
      <c r="Y46" s="15">
        <v>0</v>
      </c>
      <c r="Z46" s="14" t="s">
        <v>284</v>
      </c>
      <c r="AA46" s="15">
        <v>0</v>
      </c>
      <c r="AB46" s="14" t="s">
        <v>284</v>
      </c>
      <c r="AC46" s="15">
        <v>0</v>
      </c>
      <c r="AD46" s="14" t="s">
        <v>284</v>
      </c>
      <c r="AE46" s="15">
        <v>0</v>
      </c>
      <c r="AF46" s="14" t="s">
        <v>284</v>
      </c>
      <c r="AG46" s="15">
        <v>0</v>
      </c>
    </row>
    <row r="47" spans="1:33" x14ac:dyDescent="0.2">
      <c r="A47" s="2" t="s">
        <v>3</v>
      </c>
      <c r="B47" s="3" t="s">
        <v>35</v>
      </c>
      <c r="C47" s="2" t="s">
        <v>70</v>
      </c>
      <c r="D47" s="6" t="s">
        <v>165</v>
      </c>
      <c r="E47" s="12" t="s">
        <v>0</v>
      </c>
      <c r="F47" s="14" t="s">
        <v>284</v>
      </c>
      <c r="G47" s="15">
        <v>0</v>
      </c>
      <c r="H47" s="14" t="s">
        <v>284</v>
      </c>
      <c r="I47" s="15">
        <v>0</v>
      </c>
      <c r="J47" s="14" t="s">
        <v>284</v>
      </c>
      <c r="K47" s="15">
        <v>0</v>
      </c>
      <c r="L47" s="14" t="s">
        <v>284</v>
      </c>
      <c r="M47" s="15">
        <v>0</v>
      </c>
      <c r="N47" s="14" t="s">
        <v>284</v>
      </c>
      <c r="O47" s="15">
        <v>0</v>
      </c>
      <c r="P47" s="14">
        <v>11.75</v>
      </c>
      <c r="Q47" s="15">
        <v>0</v>
      </c>
      <c r="R47" s="14">
        <v>3.21</v>
      </c>
      <c r="S47" s="15">
        <v>0</v>
      </c>
      <c r="T47" s="14" t="s">
        <v>571</v>
      </c>
      <c r="U47" s="15">
        <v>0</v>
      </c>
      <c r="V47" s="14">
        <v>277.92</v>
      </c>
      <c r="W47" s="15">
        <v>0</v>
      </c>
      <c r="X47" s="14" t="s">
        <v>284</v>
      </c>
      <c r="Y47" s="15">
        <v>0</v>
      </c>
      <c r="Z47" s="14" t="s">
        <v>284</v>
      </c>
      <c r="AA47" s="15">
        <v>0</v>
      </c>
      <c r="AB47" s="14" t="s">
        <v>284</v>
      </c>
      <c r="AC47" s="15">
        <v>0</v>
      </c>
      <c r="AD47" s="14" t="s">
        <v>284</v>
      </c>
      <c r="AE47" s="15">
        <v>0</v>
      </c>
      <c r="AF47" s="14" t="s">
        <v>284</v>
      </c>
      <c r="AG47" s="15">
        <v>0</v>
      </c>
    </row>
    <row r="48" spans="1:33" x14ac:dyDescent="0.2">
      <c r="A48" s="2" t="s">
        <v>3</v>
      </c>
      <c r="B48" s="3" t="s">
        <v>35</v>
      </c>
      <c r="C48" s="2" t="s">
        <v>69</v>
      </c>
      <c r="D48" s="6" t="s">
        <v>166</v>
      </c>
      <c r="E48" s="12" t="s">
        <v>0</v>
      </c>
      <c r="F48" s="14" t="s">
        <v>284</v>
      </c>
      <c r="G48" s="15">
        <v>0</v>
      </c>
      <c r="H48" s="14" t="s">
        <v>284</v>
      </c>
      <c r="I48" s="15">
        <v>0</v>
      </c>
      <c r="J48" s="14" t="s">
        <v>284</v>
      </c>
      <c r="K48" s="15">
        <v>0</v>
      </c>
      <c r="L48" s="14" t="s">
        <v>284</v>
      </c>
      <c r="M48" s="15">
        <v>0</v>
      </c>
      <c r="N48" s="14" t="s">
        <v>284</v>
      </c>
      <c r="O48" s="15">
        <v>0</v>
      </c>
      <c r="P48" s="14">
        <v>35.94</v>
      </c>
      <c r="Q48" s="15">
        <v>0</v>
      </c>
      <c r="R48" s="14">
        <v>37.4</v>
      </c>
      <c r="S48" s="15">
        <v>0</v>
      </c>
      <c r="T48" s="14" t="s">
        <v>557</v>
      </c>
      <c r="U48" s="15">
        <v>0</v>
      </c>
      <c r="V48" s="14">
        <v>459.41</v>
      </c>
      <c r="W48" s="15">
        <v>0</v>
      </c>
      <c r="X48" s="14" t="s">
        <v>284</v>
      </c>
      <c r="Y48" s="15">
        <v>0</v>
      </c>
      <c r="Z48" s="14" t="s">
        <v>284</v>
      </c>
      <c r="AA48" s="15">
        <v>0</v>
      </c>
      <c r="AB48" s="14" t="s">
        <v>284</v>
      </c>
      <c r="AC48" s="15">
        <v>0</v>
      </c>
      <c r="AD48" s="14" t="s">
        <v>284</v>
      </c>
      <c r="AE48" s="15">
        <v>0</v>
      </c>
      <c r="AF48" s="14" t="s">
        <v>284</v>
      </c>
      <c r="AG48" s="15">
        <v>0</v>
      </c>
    </row>
    <row r="49" spans="1:33" x14ac:dyDescent="0.2">
      <c r="A49" s="2" t="s">
        <v>3</v>
      </c>
      <c r="B49" s="3" t="s">
        <v>35</v>
      </c>
      <c r="C49" s="2" t="s">
        <v>68</v>
      </c>
      <c r="D49" s="6" t="s">
        <v>167</v>
      </c>
      <c r="E49" s="12" t="s">
        <v>0</v>
      </c>
      <c r="F49" s="14" t="s">
        <v>284</v>
      </c>
      <c r="G49" s="15">
        <v>0</v>
      </c>
      <c r="H49" s="14" t="s">
        <v>284</v>
      </c>
      <c r="I49" s="15">
        <v>0</v>
      </c>
      <c r="J49" s="14" t="s">
        <v>284</v>
      </c>
      <c r="K49" s="15">
        <v>0</v>
      </c>
      <c r="L49" s="14" t="s">
        <v>284</v>
      </c>
      <c r="M49" s="15">
        <v>0</v>
      </c>
      <c r="N49" s="14" t="s">
        <v>560</v>
      </c>
      <c r="O49" s="15">
        <v>0</v>
      </c>
      <c r="P49" s="14" t="s">
        <v>572</v>
      </c>
      <c r="Q49" s="15">
        <v>0</v>
      </c>
      <c r="R49" s="14">
        <v>13.49</v>
      </c>
      <c r="S49" s="15">
        <v>0</v>
      </c>
      <c r="T49" s="14">
        <v>1.64</v>
      </c>
      <c r="U49" s="15">
        <v>0</v>
      </c>
      <c r="V49" s="14">
        <v>455.61</v>
      </c>
      <c r="W49" s="15">
        <v>0</v>
      </c>
      <c r="X49" s="14" t="s">
        <v>284</v>
      </c>
      <c r="Y49" s="15">
        <v>0</v>
      </c>
      <c r="Z49" s="14" t="s">
        <v>284</v>
      </c>
      <c r="AA49" s="15">
        <v>0</v>
      </c>
      <c r="AB49" s="14" t="s">
        <v>284</v>
      </c>
      <c r="AC49" s="15">
        <v>0</v>
      </c>
      <c r="AD49" s="14" t="s">
        <v>284</v>
      </c>
      <c r="AE49" s="15">
        <v>0</v>
      </c>
      <c r="AF49" s="14" t="s">
        <v>284</v>
      </c>
      <c r="AG49" s="15">
        <v>0</v>
      </c>
    </row>
    <row r="50" spans="1:33" x14ac:dyDescent="0.2">
      <c r="A50" s="2" t="s">
        <v>3</v>
      </c>
      <c r="B50" s="3" t="s">
        <v>35</v>
      </c>
      <c r="C50" s="2" t="s">
        <v>67</v>
      </c>
      <c r="D50" s="6" t="s">
        <v>168</v>
      </c>
      <c r="E50" s="12" t="s">
        <v>0</v>
      </c>
      <c r="F50" s="14" t="s">
        <v>284</v>
      </c>
      <c r="G50" s="15">
        <v>0</v>
      </c>
      <c r="H50" s="14" t="s">
        <v>284</v>
      </c>
      <c r="I50" s="15">
        <v>0</v>
      </c>
      <c r="J50" s="14" t="s">
        <v>284</v>
      </c>
      <c r="K50" s="15">
        <v>0</v>
      </c>
      <c r="L50" s="14" t="s">
        <v>284</v>
      </c>
      <c r="M50" s="15">
        <v>0</v>
      </c>
      <c r="N50" s="14" t="s">
        <v>573</v>
      </c>
      <c r="O50" s="15">
        <v>140.01</v>
      </c>
      <c r="P50" s="14">
        <v>16.440000000000001</v>
      </c>
      <c r="Q50" s="15">
        <v>39.79</v>
      </c>
      <c r="R50" s="14" t="s">
        <v>574</v>
      </c>
      <c r="S50" s="15">
        <v>65.34</v>
      </c>
      <c r="T50" s="14" t="s">
        <v>284</v>
      </c>
      <c r="U50" s="15">
        <v>0</v>
      </c>
      <c r="V50" s="14">
        <v>87.27</v>
      </c>
      <c r="W50" s="15">
        <v>9.75</v>
      </c>
      <c r="X50" s="14" t="s">
        <v>284</v>
      </c>
      <c r="Y50" s="15">
        <v>0</v>
      </c>
      <c r="Z50" s="14" t="s">
        <v>284</v>
      </c>
      <c r="AA50" s="15">
        <v>0</v>
      </c>
      <c r="AB50" s="14" t="s">
        <v>284</v>
      </c>
      <c r="AC50" s="15">
        <v>0</v>
      </c>
      <c r="AD50" s="14" t="s">
        <v>284</v>
      </c>
      <c r="AE50" s="15">
        <v>0</v>
      </c>
      <c r="AF50" s="14" t="s">
        <v>284</v>
      </c>
      <c r="AG50" s="15">
        <v>0</v>
      </c>
    </row>
    <row r="51" spans="1:33" x14ac:dyDescent="0.2">
      <c r="A51" s="2" t="s">
        <v>3</v>
      </c>
      <c r="B51" s="3" t="s">
        <v>35</v>
      </c>
      <c r="C51" s="2" t="s">
        <v>66</v>
      </c>
      <c r="D51" s="6" t="s">
        <v>169</v>
      </c>
      <c r="E51" s="12" t="s">
        <v>0</v>
      </c>
      <c r="F51" s="14" t="s">
        <v>284</v>
      </c>
      <c r="G51" s="15">
        <v>0</v>
      </c>
      <c r="H51" s="14" t="s">
        <v>284</v>
      </c>
      <c r="I51" s="15">
        <v>0</v>
      </c>
      <c r="J51" s="14" t="s">
        <v>284</v>
      </c>
      <c r="K51" s="15">
        <v>0</v>
      </c>
      <c r="L51" s="14" t="s">
        <v>284</v>
      </c>
      <c r="M51" s="15">
        <v>0</v>
      </c>
      <c r="N51" s="14" t="s">
        <v>575</v>
      </c>
      <c r="O51" s="15">
        <v>49.29</v>
      </c>
      <c r="P51" s="14">
        <v>46.79</v>
      </c>
      <c r="Q51" s="15">
        <v>8.07</v>
      </c>
      <c r="R51" s="14">
        <v>2.59</v>
      </c>
      <c r="S51" s="15">
        <v>24.19</v>
      </c>
      <c r="T51" s="14" t="s">
        <v>284</v>
      </c>
      <c r="U51" s="15">
        <v>0</v>
      </c>
      <c r="V51" s="14">
        <v>179.03</v>
      </c>
      <c r="W51" s="15">
        <v>7.58</v>
      </c>
      <c r="X51" s="14" t="s">
        <v>284</v>
      </c>
      <c r="Y51" s="15">
        <v>0</v>
      </c>
      <c r="Z51" s="14" t="s">
        <v>284</v>
      </c>
      <c r="AA51" s="15">
        <v>0</v>
      </c>
      <c r="AB51" s="14" t="s">
        <v>284</v>
      </c>
      <c r="AC51" s="15">
        <v>0</v>
      </c>
      <c r="AD51" s="14" t="s">
        <v>284</v>
      </c>
      <c r="AE51" s="15">
        <v>0</v>
      </c>
      <c r="AF51" s="14" t="s">
        <v>284</v>
      </c>
      <c r="AG51" s="15">
        <v>0</v>
      </c>
    </row>
    <row r="52" spans="1:33" x14ac:dyDescent="0.2">
      <c r="A52" s="2" t="s">
        <v>3</v>
      </c>
      <c r="B52" s="3" t="s">
        <v>35</v>
      </c>
      <c r="C52" s="2" t="s">
        <v>65</v>
      </c>
      <c r="D52" s="6" t="s">
        <v>170</v>
      </c>
      <c r="E52" s="12" t="s">
        <v>0</v>
      </c>
      <c r="F52" s="14" t="s">
        <v>284</v>
      </c>
      <c r="G52" s="15">
        <v>0</v>
      </c>
      <c r="H52" s="14" t="s">
        <v>284</v>
      </c>
      <c r="I52" s="15">
        <v>0</v>
      </c>
      <c r="J52" s="14" t="s">
        <v>284</v>
      </c>
      <c r="K52" s="15">
        <v>0</v>
      </c>
      <c r="L52" s="14" t="s">
        <v>284</v>
      </c>
      <c r="M52" s="15">
        <v>0</v>
      </c>
      <c r="N52" s="14" t="s">
        <v>284</v>
      </c>
      <c r="O52" s="15">
        <v>0</v>
      </c>
      <c r="P52" s="14">
        <v>64.099999999999994</v>
      </c>
      <c r="Q52" s="15">
        <v>19.11</v>
      </c>
      <c r="R52" s="14">
        <v>4.46</v>
      </c>
      <c r="S52" s="15">
        <v>4.07</v>
      </c>
      <c r="T52" s="14" t="s">
        <v>571</v>
      </c>
      <c r="U52" s="15">
        <v>94.49</v>
      </c>
      <c r="V52" s="14">
        <v>244.31</v>
      </c>
      <c r="W52" s="15">
        <v>6.86</v>
      </c>
      <c r="X52" s="14" t="s">
        <v>284</v>
      </c>
      <c r="Y52" s="15">
        <v>0</v>
      </c>
      <c r="Z52" s="14" t="s">
        <v>284</v>
      </c>
      <c r="AA52" s="15">
        <v>0</v>
      </c>
      <c r="AB52" s="14" t="s">
        <v>284</v>
      </c>
      <c r="AC52" s="15">
        <v>0</v>
      </c>
      <c r="AD52" s="14" t="s">
        <v>284</v>
      </c>
      <c r="AE52" s="15">
        <v>0</v>
      </c>
      <c r="AF52" s="14" t="s">
        <v>284</v>
      </c>
      <c r="AG52" s="15">
        <v>0</v>
      </c>
    </row>
    <row r="53" spans="1:33" x14ac:dyDescent="0.2">
      <c r="A53" s="2" t="s">
        <v>3</v>
      </c>
      <c r="B53" s="3" t="s">
        <v>35</v>
      </c>
      <c r="C53" s="2" t="s">
        <v>64</v>
      </c>
      <c r="D53" s="6" t="s">
        <v>171</v>
      </c>
      <c r="E53" s="12" t="s">
        <v>0</v>
      </c>
      <c r="F53" s="14" t="s">
        <v>284</v>
      </c>
      <c r="G53" s="15">
        <v>0</v>
      </c>
      <c r="H53" s="14" t="s">
        <v>284</v>
      </c>
      <c r="I53" s="15">
        <v>0</v>
      </c>
      <c r="J53" s="14" t="s">
        <v>284</v>
      </c>
      <c r="K53" s="15">
        <v>0</v>
      </c>
      <c r="L53" s="14" t="s">
        <v>284</v>
      </c>
      <c r="M53" s="15">
        <v>0</v>
      </c>
      <c r="N53" s="14" t="s">
        <v>560</v>
      </c>
      <c r="O53" s="15">
        <v>0</v>
      </c>
      <c r="P53" s="14">
        <v>39.369999999999997</v>
      </c>
      <c r="Q53" s="15">
        <v>12.27</v>
      </c>
      <c r="R53" s="14">
        <v>11.18</v>
      </c>
      <c r="S53" s="15">
        <v>26.3</v>
      </c>
      <c r="T53" s="14">
        <v>9.36</v>
      </c>
      <c r="U53" s="15">
        <v>31.53</v>
      </c>
      <c r="V53" s="14">
        <v>516.48</v>
      </c>
      <c r="W53" s="15">
        <v>15.15</v>
      </c>
      <c r="X53" s="14" t="s">
        <v>284</v>
      </c>
      <c r="Y53" s="15">
        <v>0</v>
      </c>
      <c r="Z53" s="14" t="s">
        <v>284</v>
      </c>
      <c r="AA53" s="15">
        <v>0</v>
      </c>
      <c r="AB53" s="14" t="s">
        <v>284</v>
      </c>
      <c r="AC53" s="15">
        <v>0</v>
      </c>
      <c r="AD53" s="14" t="s">
        <v>284</v>
      </c>
      <c r="AE53" s="15">
        <v>0</v>
      </c>
      <c r="AF53" s="14" t="s">
        <v>284</v>
      </c>
      <c r="AG53" s="15">
        <v>0</v>
      </c>
    </row>
    <row r="54" spans="1:33" x14ac:dyDescent="0.2">
      <c r="A54" s="2" t="s">
        <v>3</v>
      </c>
      <c r="B54" s="3" t="s">
        <v>35</v>
      </c>
      <c r="C54" s="2" t="s">
        <v>63</v>
      </c>
      <c r="D54" s="6" t="s">
        <v>172</v>
      </c>
      <c r="E54" s="12" t="s">
        <v>0</v>
      </c>
      <c r="F54" s="14" t="s">
        <v>284</v>
      </c>
      <c r="G54" s="15">
        <v>0</v>
      </c>
      <c r="H54" s="14" t="s">
        <v>284</v>
      </c>
      <c r="I54" s="15">
        <v>0</v>
      </c>
      <c r="J54" s="14" t="s">
        <v>284</v>
      </c>
      <c r="K54" s="15">
        <v>0</v>
      </c>
      <c r="L54" s="14" t="s">
        <v>284</v>
      </c>
      <c r="M54" s="15">
        <v>0</v>
      </c>
      <c r="N54" s="14" t="s">
        <v>284</v>
      </c>
      <c r="O54" s="15">
        <v>0</v>
      </c>
      <c r="P54" s="14" t="s">
        <v>284</v>
      </c>
      <c r="Q54" s="15">
        <v>0</v>
      </c>
      <c r="R54" s="14" t="s">
        <v>284</v>
      </c>
      <c r="S54" s="15">
        <v>0</v>
      </c>
      <c r="T54" s="14" t="s">
        <v>284</v>
      </c>
      <c r="U54" s="15">
        <v>0</v>
      </c>
      <c r="V54" s="14">
        <v>119.46</v>
      </c>
      <c r="W54" s="15">
        <v>0.57999999999999996</v>
      </c>
      <c r="X54" s="14" t="s">
        <v>284</v>
      </c>
      <c r="Y54" s="15">
        <v>0</v>
      </c>
      <c r="Z54" s="14" t="s">
        <v>284</v>
      </c>
      <c r="AA54" s="15">
        <v>0</v>
      </c>
      <c r="AB54" s="14" t="s">
        <v>284</v>
      </c>
      <c r="AC54" s="15">
        <v>0</v>
      </c>
      <c r="AD54" s="14" t="s">
        <v>284</v>
      </c>
      <c r="AE54" s="15">
        <v>0</v>
      </c>
      <c r="AF54" s="14" t="s">
        <v>284</v>
      </c>
      <c r="AG54" s="15">
        <v>0</v>
      </c>
    </row>
    <row r="55" spans="1:33" x14ac:dyDescent="0.2">
      <c r="A55" s="2" t="s">
        <v>3</v>
      </c>
      <c r="B55" s="3" t="s">
        <v>35</v>
      </c>
      <c r="C55" s="2" t="s">
        <v>62</v>
      </c>
      <c r="D55" s="6" t="s">
        <v>173</v>
      </c>
      <c r="E55" s="12" t="s">
        <v>0</v>
      </c>
      <c r="F55" s="14">
        <v>170.49</v>
      </c>
      <c r="G55" s="15">
        <v>6.96</v>
      </c>
      <c r="H55" s="14" t="s">
        <v>284</v>
      </c>
      <c r="I55" s="15">
        <v>0</v>
      </c>
      <c r="J55" s="14" t="s">
        <v>284</v>
      </c>
      <c r="K55" s="15">
        <v>0</v>
      </c>
      <c r="L55" s="14" t="s">
        <v>284</v>
      </c>
      <c r="M55" s="15">
        <v>0</v>
      </c>
      <c r="N55" s="14" t="s">
        <v>284</v>
      </c>
      <c r="O55" s="15">
        <v>0</v>
      </c>
      <c r="P55" s="14">
        <v>51.44</v>
      </c>
      <c r="Q55" s="15">
        <v>21.8</v>
      </c>
      <c r="R55" s="14">
        <v>18.43</v>
      </c>
      <c r="S55" s="15">
        <v>11.37</v>
      </c>
      <c r="T55" s="14">
        <v>9</v>
      </c>
      <c r="U55" s="15">
        <v>3.75</v>
      </c>
      <c r="V55" s="14">
        <v>658.3</v>
      </c>
      <c r="W55" s="15">
        <v>10.11</v>
      </c>
      <c r="X55" s="14" t="s">
        <v>284</v>
      </c>
      <c r="Y55" s="15">
        <v>0</v>
      </c>
      <c r="Z55" s="14" t="s">
        <v>284</v>
      </c>
      <c r="AA55" s="15">
        <v>0</v>
      </c>
      <c r="AB55" s="14" t="s">
        <v>284</v>
      </c>
      <c r="AC55" s="15">
        <v>0</v>
      </c>
      <c r="AD55" s="14" t="s">
        <v>284</v>
      </c>
      <c r="AE55" s="15">
        <v>0</v>
      </c>
      <c r="AF55" s="14" t="s">
        <v>284</v>
      </c>
      <c r="AG55" s="15">
        <v>0</v>
      </c>
    </row>
    <row r="56" spans="1:33" x14ac:dyDescent="0.2">
      <c r="A56" s="2" t="s">
        <v>3</v>
      </c>
      <c r="B56" s="3" t="s">
        <v>35</v>
      </c>
      <c r="C56" s="2" t="s">
        <v>61</v>
      </c>
      <c r="D56" s="6" t="s">
        <v>174</v>
      </c>
      <c r="E56" s="12" t="s">
        <v>0</v>
      </c>
      <c r="F56" s="14">
        <v>95.85</v>
      </c>
      <c r="G56" s="15">
        <v>2.29</v>
      </c>
      <c r="H56" s="14" t="s">
        <v>284</v>
      </c>
      <c r="I56" s="15">
        <v>0</v>
      </c>
      <c r="J56" s="14" t="s">
        <v>284</v>
      </c>
      <c r="K56" s="15">
        <v>0</v>
      </c>
      <c r="L56" s="14" t="s">
        <v>284</v>
      </c>
      <c r="M56" s="15">
        <v>0</v>
      </c>
      <c r="N56" s="14" t="s">
        <v>558</v>
      </c>
      <c r="O56" s="15">
        <v>97.42</v>
      </c>
      <c r="P56" s="14">
        <v>35.590000000000003</v>
      </c>
      <c r="Q56" s="15">
        <v>6.87</v>
      </c>
      <c r="R56" s="14">
        <v>12.68</v>
      </c>
      <c r="S56" s="15">
        <v>9.0399999999999991</v>
      </c>
      <c r="T56" s="14" t="s">
        <v>284</v>
      </c>
      <c r="U56" s="15">
        <v>0</v>
      </c>
      <c r="V56" s="14">
        <v>552.79</v>
      </c>
      <c r="W56" s="15">
        <v>5.63</v>
      </c>
      <c r="X56" s="14" t="s">
        <v>284</v>
      </c>
      <c r="Y56" s="15">
        <v>0</v>
      </c>
      <c r="Z56" s="14" t="s">
        <v>284</v>
      </c>
      <c r="AA56" s="15">
        <v>0</v>
      </c>
      <c r="AB56" s="14" t="s">
        <v>284</v>
      </c>
      <c r="AC56" s="15">
        <v>0</v>
      </c>
      <c r="AD56" s="14" t="s">
        <v>284</v>
      </c>
      <c r="AE56" s="15">
        <v>0</v>
      </c>
      <c r="AF56" s="14" t="s">
        <v>284</v>
      </c>
      <c r="AG56" s="15">
        <v>0</v>
      </c>
    </row>
    <row r="57" spans="1:33" x14ac:dyDescent="0.2">
      <c r="A57" s="2" t="s">
        <v>3</v>
      </c>
      <c r="B57" s="3" t="s">
        <v>35</v>
      </c>
      <c r="C57" s="2" t="s">
        <v>60</v>
      </c>
      <c r="D57" s="6" t="s">
        <v>175</v>
      </c>
      <c r="E57" s="12" t="s">
        <v>0</v>
      </c>
      <c r="F57" s="14" t="s">
        <v>576</v>
      </c>
      <c r="G57" s="15">
        <v>25.85</v>
      </c>
      <c r="H57" s="14" t="s">
        <v>284</v>
      </c>
      <c r="I57" s="15">
        <v>0</v>
      </c>
      <c r="J57" s="14" t="s">
        <v>284</v>
      </c>
      <c r="K57" s="15">
        <v>0</v>
      </c>
      <c r="L57" s="14" t="s">
        <v>284</v>
      </c>
      <c r="M57" s="15">
        <v>0</v>
      </c>
      <c r="N57" s="14" t="s">
        <v>284</v>
      </c>
      <c r="O57" s="15">
        <v>0</v>
      </c>
      <c r="P57" s="14">
        <v>34.9</v>
      </c>
      <c r="Q57" s="15">
        <v>4.22</v>
      </c>
      <c r="R57" s="14">
        <v>146.77000000000001</v>
      </c>
      <c r="S57" s="15">
        <v>13.31</v>
      </c>
      <c r="T57" s="14" t="s">
        <v>284</v>
      </c>
      <c r="U57" s="15">
        <v>0</v>
      </c>
      <c r="V57" s="14">
        <v>693.32</v>
      </c>
      <c r="W57" s="15">
        <v>13.22</v>
      </c>
      <c r="X57" s="14" t="s">
        <v>284</v>
      </c>
      <c r="Y57" s="15">
        <v>0</v>
      </c>
      <c r="Z57" s="14" t="s">
        <v>284</v>
      </c>
      <c r="AA57" s="15">
        <v>0</v>
      </c>
      <c r="AB57" s="14" t="s">
        <v>284</v>
      </c>
      <c r="AC57" s="15">
        <v>0</v>
      </c>
      <c r="AD57" s="14" t="s">
        <v>284</v>
      </c>
      <c r="AE57" s="15">
        <v>0</v>
      </c>
      <c r="AF57" s="14" t="s">
        <v>284</v>
      </c>
      <c r="AG57" s="15">
        <v>0</v>
      </c>
    </row>
    <row r="58" spans="1:33" s="1" customFormat="1" x14ac:dyDescent="0.2">
      <c r="A58" s="3" t="s">
        <v>3</v>
      </c>
      <c r="B58" s="3" t="s">
        <v>35</v>
      </c>
      <c r="C58" s="3" t="s">
        <v>59</v>
      </c>
      <c r="D58" s="6" t="s">
        <v>176</v>
      </c>
      <c r="E58" s="16" t="s">
        <v>0</v>
      </c>
      <c r="F58" s="17" t="s">
        <v>284</v>
      </c>
      <c r="G58" s="18">
        <v>0</v>
      </c>
      <c r="H58" s="17" t="s">
        <v>284</v>
      </c>
      <c r="I58" s="18">
        <v>0</v>
      </c>
      <c r="J58" s="17" t="s">
        <v>284</v>
      </c>
      <c r="K58" s="18">
        <v>0</v>
      </c>
      <c r="L58" s="17" t="s">
        <v>284</v>
      </c>
      <c r="M58" s="18">
        <v>0</v>
      </c>
      <c r="N58" s="17" t="s">
        <v>284</v>
      </c>
      <c r="O58" s="18">
        <v>0</v>
      </c>
      <c r="P58" s="17">
        <v>58.28</v>
      </c>
      <c r="Q58" s="18">
        <v>5.79</v>
      </c>
      <c r="R58" s="17">
        <v>3.8</v>
      </c>
      <c r="S58" s="18">
        <v>36.380000000000003</v>
      </c>
      <c r="T58" s="17" t="s">
        <v>284</v>
      </c>
      <c r="U58" s="18">
        <v>0</v>
      </c>
      <c r="V58" s="17">
        <v>470.06</v>
      </c>
      <c r="W58" s="18">
        <v>6.33</v>
      </c>
      <c r="X58" s="17" t="s">
        <v>284</v>
      </c>
      <c r="Y58" s="18">
        <v>0</v>
      </c>
      <c r="Z58" s="17" t="s">
        <v>284</v>
      </c>
      <c r="AA58" s="18">
        <v>0</v>
      </c>
      <c r="AB58" s="17" t="s">
        <v>284</v>
      </c>
      <c r="AC58" s="18">
        <v>0</v>
      </c>
      <c r="AD58" s="17" t="s">
        <v>284</v>
      </c>
      <c r="AE58" s="18">
        <v>0</v>
      </c>
      <c r="AF58" s="17" t="s">
        <v>284</v>
      </c>
      <c r="AG58" s="18">
        <v>0</v>
      </c>
    </row>
    <row r="59" spans="1:33" x14ac:dyDescent="0.2">
      <c r="A59" s="2" t="s">
        <v>3</v>
      </c>
      <c r="B59" s="3" t="s">
        <v>35</v>
      </c>
      <c r="C59" s="2" t="s">
        <v>58</v>
      </c>
      <c r="D59" s="6" t="s">
        <v>177</v>
      </c>
      <c r="E59" s="12" t="s">
        <v>0</v>
      </c>
      <c r="F59" s="14" t="s">
        <v>284</v>
      </c>
      <c r="G59" s="15">
        <v>0</v>
      </c>
      <c r="H59" s="14" t="s">
        <v>284</v>
      </c>
      <c r="I59" s="15">
        <v>0</v>
      </c>
      <c r="J59" s="14" t="s">
        <v>284</v>
      </c>
      <c r="K59" s="15">
        <v>0</v>
      </c>
      <c r="L59" s="14" t="s">
        <v>284</v>
      </c>
      <c r="M59" s="15">
        <v>0</v>
      </c>
      <c r="N59" s="14" t="s">
        <v>284</v>
      </c>
      <c r="O59" s="15">
        <v>0</v>
      </c>
      <c r="P59" s="14">
        <v>62.01</v>
      </c>
      <c r="Q59" s="15">
        <v>15.42</v>
      </c>
      <c r="R59" s="14">
        <v>3.06</v>
      </c>
      <c r="S59" s="15">
        <v>61.68</v>
      </c>
      <c r="T59" s="14" t="s">
        <v>284</v>
      </c>
      <c r="U59" s="15">
        <v>0</v>
      </c>
      <c r="V59" s="14">
        <v>506.1</v>
      </c>
      <c r="W59" s="15">
        <v>5.5</v>
      </c>
      <c r="X59" s="14" t="s">
        <v>284</v>
      </c>
      <c r="Y59" s="15">
        <v>0</v>
      </c>
      <c r="Z59" s="14" t="s">
        <v>284</v>
      </c>
      <c r="AA59" s="15">
        <v>0</v>
      </c>
      <c r="AB59" s="14" t="s">
        <v>284</v>
      </c>
      <c r="AC59" s="15">
        <v>0</v>
      </c>
      <c r="AD59" s="14" t="s">
        <v>284</v>
      </c>
      <c r="AE59" s="15">
        <v>0</v>
      </c>
      <c r="AF59" s="14" t="s">
        <v>284</v>
      </c>
      <c r="AG59" s="15">
        <v>0</v>
      </c>
    </row>
    <row r="60" spans="1:33" x14ac:dyDescent="0.2">
      <c r="A60" s="2" t="s">
        <v>3</v>
      </c>
      <c r="B60" s="3" t="s">
        <v>35</v>
      </c>
      <c r="C60" s="2" t="s">
        <v>57</v>
      </c>
      <c r="D60" s="6" t="s">
        <v>178</v>
      </c>
      <c r="E60" s="12" t="s">
        <v>0</v>
      </c>
      <c r="F60" s="14" t="s">
        <v>284</v>
      </c>
      <c r="G60" s="15">
        <v>0</v>
      </c>
      <c r="H60" s="14" t="s">
        <v>284</v>
      </c>
      <c r="I60" s="15">
        <v>0</v>
      </c>
      <c r="J60" s="14" t="s">
        <v>284</v>
      </c>
      <c r="K60" s="15">
        <v>0</v>
      </c>
      <c r="L60" s="14" t="s">
        <v>284</v>
      </c>
      <c r="M60" s="15">
        <v>0</v>
      </c>
      <c r="N60" s="14" t="s">
        <v>284</v>
      </c>
      <c r="O60" s="15">
        <v>0</v>
      </c>
      <c r="P60" s="14">
        <v>16.93</v>
      </c>
      <c r="Q60" s="15">
        <v>0</v>
      </c>
      <c r="R60" s="14">
        <v>4.34</v>
      </c>
      <c r="S60" s="15">
        <v>40.590000000000003</v>
      </c>
      <c r="T60" s="14" t="s">
        <v>284</v>
      </c>
      <c r="U60" s="15">
        <v>0</v>
      </c>
      <c r="V60" s="14">
        <v>695.43</v>
      </c>
      <c r="W60" s="15">
        <v>3.2</v>
      </c>
      <c r="X60" s="14" t="s">
        <v>284</v>
      </c>
      <c r="Y60" s="15">
        <v>0</v>
      </c>
      <c r="Z60" s="14" t="s">
        <v>284</v>
      </c>
      <c r="AA60" s="15">
        <v>0</v>
      </c>
      <c r="AB60" s="14" t="s">
        <v>284</v>
      </c>
      <c r="AC60" s="15">
        <v>0</v>
      </c>
      <c r="AD60" s="14" t="s">
        <v>284</v>
      </c>
      <c r="AE60" s="15">
        <v>0</v>
      </c>
      <c r="AF60" s="14" t="s">
        <v>284</v>
      </c>
      <c r="AG60" s="15">
        <v>0</v>
      </c>
    </row>
    <row r="61" spans="1:33" x14ac:dyDescent="0.2">
      <c r="A61" s="2" t="s">
        <v>3</v>
      </c>
      <c r="B61" s="3" t="s">
        <v>35</v>
      </c>
      <c r="C61" s="2" t="s">
        <v>56</v>
      </c>
      <c r="D61" s="6" t="s">
        <v>179</v>
      </c>
      <c r="E61" s="12" t="s">
        <v>0</v>
      </c>
      <c r="F61" s="14" t="s">
        <v>284</v>
      </c>
      <c r="G61" s="15">
        <v>0</v>
      </c>
      <c r="H61" s="14" t="s">
        <v>284</v>
      </c>
      <c r="I61" s="15">
        <v>0</v>
      </c>
      <c r="J61" s="14" t="s">
        <v>284</v>
      </c>
      <c r="K61" s="15">
        <v>0</v>
      </c>
      <c r="L61" s="14" t="s">
        <v>284</v>
      </c>
      <c r="M61" s="15">
        <v>0</v>
      </c>
      <c r="N61" s="14" t="s">
        <v>284</v>
      </c>
      <c r="O61" s="15">
        <v>0</v>
      </c>
      <c r="P61" s="14">
        <v>173.35</v>
      </c>
      <c r="Q61" s="15">
        <v>1.9</v>
      </c>
      <c r="R61" s="14">
        <v>50.67</v>
      </c>
      <c r="S61" s="15">
        <v>0.46</v>
      </c>
      <c r="T61" s="14">
        <v>2.25</v>
      </c>
      <c r="U61" s="15">
        <v>45.16</v>
      </c>
      <c r="V61" s="14">
        <v>699.72</v>
      </c>
      <c r="W61" s="15">
        <v>10.81</v>
      </c>
      <c r="X61" s="14" t="s">
        <v>284</v>
      </c>
      <c r="Y61" s="15">
        <v>0</v>
      </c>
      <c r="Z61" s="14" t="s">
        <v>284</v>
      </c>
      <c r="AA61" s="15">
        <v>0</v>
      </c>
      <c r="AB61" s="14" t="s">
        <v>284</v>
      </c>
      <c r="AC61" s="15">
        <v>0</v>
      </c>
      <c r="AD61" s="14" t="s">
        <v>284</v>
      </c>
      <c r="AE61" s="15">
        <v>0</v>
      </c>
      <c r="AF61" s="14" t="s">
        <v>284</v>
      </c>
      <c r="AG61" s="15">
        <v>0</v>
      </c>
    </row>
    <row r="62" spans="1:33" x14ac:dyDescent="0.2">
      <c r="A62" s="2" t="s">
        <v>3</v>
      </c>
      <c r="B62" s="3" t="s">
        <v>35</v>
      </c>
      <c r="C62" s="2" t="s">
        <v>55</v>
      </c>
      <c r="D62" s="6" t="s">
        <v>180</v>
      </c>
      <c r="E62" s="12" t="s">
        <v>0</v>
      </c>
      <c r="F62" s="14" t="s">
        <v>284</v>
      </c>
      <c r="G62" s="15">
        <v>0</v>
      </c>
      <c r="H62" s="14" t="s">
        <v>284</v>
      </c>
      <c r="I62" s="15">
        <v>0</v>
      </c>
      <c r="J62" s="14" t="s">
        <v>284</v>
      </c>
      <c r="K62" s="15">
        <v>0</v>
      </c>
      <c r="L62" s="14" t="s">
        <v>284</v>
      </c>
      <c r="M62" s="15">
        <v>0</v>
      </c>
      <c r="N62" s="14" t="s">
        <v>284</v>
      </c>
      <c r="O62" s="15">
        <v>0</v>
      </c>
      <c r="P62" s="14">
        <v>12.76</v>
      </c>
      <c r="Q62" s="15">
        <v>28.47</v>
      </c>
      <c r="R62" s="14" t="s">
        <v>577</v>
      </c>
      <c r="S62" s="15">
        <v>121.82</v>
      </c>
      <c r="T62" s="14" t="s">
        <v>284</v>
      </c>
      <c r="U62" s="15">
        <v>0</v>
      </c>
      <c r="V62" s="14">
        <v>456.5</v>
      </c>
      <c r="W62" s="15">
        <v>4.6399999999999997</v>
      </c>
      <c r="X62" s="14" t="s">
        <v>284</v>
      </c>
      <c r="Y62" s="15">
        <v>0</v>
      </c>
      <c r="Z62" s="14" t="s">
        <v>284</v>
      </c>
      <c r="AA62" s="15">
        <v>0</v>
      </c>
      <c r="AB62" s="14" t="s">
        <v>284</v>
      </c>
      <c r="AC62" s="15">
        <v>0</v>
      </c>
      <c r="AD62" s="14" t="s">
        <v>284</v>
      </c>
      <c r="AE62" s="15">
        <v>0</v>
      </c>
      <c r="AF62" s="14" t="s">
        <v>284</v>
      </c>
      <c r="AG62" s="15">
        <v>0</v>
      </c>
    </row>
    <row r="63" spans="1:33" x14ac:dyDescent="0.2">
      <c r="A63" s="2" t="s">
        <v>3</v>
      </c>
      <c r="B63" s="3" t="s">
        <v>35</v>
      </c>
      <c r="C63" s="2" t="s">
        <v>54</v>
      </c>
      <c r="D63" s="6" t="s">
        <v>181</v>
      </c>
      <c r="E63" s="12" t="s">
        <v>0</v>
      </c>
      <c r="F63" s="14" t="s">
        <v>284</v>
      </c>
      <c r="G63" s="15">
        <v>0</v>
      </c>
      <c r="H63" s="14" t="s">
        <v>284</v>
      </c>
      <c r="I63" s="15">
        <v>0</v>
      </c>
      <c r="J63" s="14" t="s">
        <v>284</v>
      </c>
      <c r="K63" s="15">
        <v>0</v>
      </c>
      <c r="L63" s="14" t="s">
        <v>284</v>
      </c>
      <c r="M63" s="15">
        <v>0</v>
      </c>
      <c r="N63" s="14" t="s">
        <v>284</v>
      </c>
      <c r="O63" s="15">
        <v>0</v>
      </c>
      <c r="P63" s="14">
        <v>448.86</v>
      </c>
      <c r="Q63" s="15">
        <v>9.25</v>
      </c>
      <c r="R63" s="14">
        <v>26.75</v>
      </c>
      <c r="S63" s="15">
        <v>19.43</v>
      </c>
      <c r="T63" s="14">
        <v>19.41</v>
      </c>
      <c r="U63" s="15">
        <v>11.62</v>
      </c>
      <c r="V63" s="14">
        <v>682.55</v>
      </c>
      <c r="W63" s="15">
        <v>11.06</v>
      </c>
      <c r="X63" s="14" t="s">
        <v>284</v>
      </c>
      <c r="Y63" s="15">
        <v>0</v>
      </c>
      <c r="Z63" s="14" t="s">
        <v>284</v>
      </c>
      <c r="AA63" s="15">
        <v>0</v>
      </c>
      <c r="AB63" s="14" t="s">
        <v>284</v>
      </c>
      <c r="AC63" s="15">
        <v>0</v>
      </c>
      <c r="AD63" s="14" t="s">
        <v>284</v>
      </c>
      <c r="AE63" s="15">
        <v>0</v>
      </c>
      <c r="AF63" s="14" t="s">
        <v>284</v>
      </c>
      <c r="AG63" s="15">
        <v>0</v>
      </c>
    </row>
    <row r="64" spans="1:33" x14ac:dyDescent="0.2">
      <c r="A64" s="2" t="s">
        <v>3</v>
      </c>
      <c r="B64" s="3" t="s">
        <v>35</v>
      </c>
      <c r="C64" s="2" t="s">
        <v>53</v>
      </c>
      <c r="D64" s="6" t="s">
        <v>182</v>
      </c>
      <c r="E64" s="12" t="s">
        <v>0</v>
      </c>
      <c r="F64" s="14" t="s">
        <v>284</v>
      </c>
      <c r="G64" s="15">
        <v>0</v>
      </c>
      <c r="H64" s="14" t="s">
        <v>284</v>
      </c>
      <c r="I64" s="15">
        <v>0</v>
      </c>
      <c r="J64" s="14" t="s">
        <v>284</v>
      </c>
      <c r="K64" s="15">
        <v>0</v>
      </c>
      <c r="L64" s="14" t="s">
        <v>284</v>
      </c>
      <c r="M64" s="15">
        <v>0</v>
      </c>
      <c r="N64" s="14" t="s">
        <v>284</v>
      </c>
      <c r="O64" s="15">
        <v>0</v>
      </c>
      <c r="P64" s="14">
        <v>268.45999999999998</v>
      </c>
      <c r="Q64" s="15">
        <v>13.77</v>
      </c>
      <c r="R64" s="14">
        <v>12.5</v>
      </c>
      <c r="S64" s="15">
        <v>18.32</v>
      </c>
      <c r="T64" s="14">
        <v>14.51</v>
      </c>
      <c r="U64" s="15">
        <v>11.45</v>
      </c>
      <c r="V64" s="14">
        <v>481.29</v>
      </c>
      <c r="W64" s="15">
        <v>12.51</v>
      </c>
      <c r="X64" s="14" t="s">
        <v>284</v>
      </c>
      <c r="Y64" s="15">
        <v>0</v>
      </c>
      <c r="Z64" s="14" t="s">
        <v>284</v>
      </c>
      <c r="AA64" s="15">
        <v>0</v>
      </c>
      <c r="AB64" s="14" t="s">
        <v>284</v>
      </c>
      <c r="AC64" s="15">
        <v>0</v>
      </c>
      <c r="AD64" s="14" t="s">
        <v>284</v>
      </c>
      <c r="AE64" s="15">
        <v>0</v>
      </c>
      <c r="AF64" s="14" t="s">
        <v>284</v>
      </c>
      <c r="AG64" s="15">
        <v>0</v>
      </c>
    </row>
    <row r="65" spans="1:33" x14ac:dyDescent="0.2">
      <c r="A65" s="2" t="s">
        <v>3</v>
      </c>
      <c r="B65" s="3" t="s">
        <v>35</v>
      </c>
      <c r="C65" s="2" t="s">
        <v>52</v>
      </c>
      <c r="D65" s="6" t="s">
        <v>183</v>
      </c>
      <c r="E65" s="12" t="s">
        <v>0</v>
      </c>
      <c r="F65" s="14" t="s">
        <v>284</v>
      </c>
      <c r="G65" s="15">
        <v>0</v>
      </c>
      <c r="H65" s="14" t="s">
        <v>284</v>
      </c>
      <c r="I65" s="15">
        <v>0</v>
      </c>
      <c r="J65" s="14" t="s">
        <v>284</v>
      </c>
      <c r="K65" s="15">
        <v>0</v>
      </c>
      <c r="L65" s="14" t="s">
        <v>284</v>
      </c>
      <c r="M65" s="15">
        <v>0</v>
      </c>
      <c r="N65" s="14" t="s">
        <v>284</v>
      </c>
      <c r="O65" s="15">
        <v>0</v>
      </c>
      <c r="P65" s="14">
        <v>89.57</v>
      </c>
      <c r="Q65" s="15">
        <v>22.29</v>
      </c>
      <c r="R65" s="14">
        <v>17.82</v>
      </c>
      <c r="S65" s="15">
        <v>5.54</v>
      </c>
      <c r="T65" s="14" t="s">
        <v>284</v>
      </c>
      <c r="U65" s="15">
        <v>0</v>
      </c>
      <c r="V65" s="14">
        <v>572.75</v>
      </c>
      <c r="W65" s="15">
        <v>3.72</v>
      </c>
      <c r="X65" s="14" t="s">
        <v>284</v>
      </c>
      <c r="Y65" s="15">
        <v>0</v>
      </c>
      <c r="Z65" s="14" t="s">
        <v>284</v>
      </c>
      <c r="AA65" s="15">
        <v>0</v>
      </c>
      <c r="AB65" s="14" t="s">
        <v>284</v>
      </c>
      <c r="AC65" s="15">
        <v>0</v>
      </c>
      <c r="AD65" s="14" t="s">
        <v>284</v>
      </c>
      <c r="AE65" s="15">
        <v>0</v>
      </c>
      <c r="AF65" s="14" t="s">
        <v>284</v>
      </c>
      <c r="AG65" s="15">
        <v>0</v>
      </c>
    </row>
    <row r="66" spans="1:33" x14ac:dyDescent="0.2">
      <c r="A66" s="2" t="s">
        <v>3</v>
      </c>
      <c r="B66" s="3" t="s">
        <v>35</v>
      </c>
      <c r="C66" s="2" t="s">
        <v>51</v>
      </c>
      <c r="D66" s="6" t="s">
        <v>184</v>
      </c>
      <c r="E66" s="12" t="s">
        <v>0</v>
      </c>
      <c r="F66" s="14" t="s">
        <v>284</v>
      </c>
      <c r="G66" s="15">
        <v>0</v>
      </c>
      <c r="H66" s="14" t="s">
        <v>284</v>
      </c>
      <c r="I66" s="15">
        <v>0</v>
      </c>
      <c r="J66" s="14" t="s">
        <v>284</v>
      </c>
      <c r="K66" s="15">
        <v>0</v>
      </c>
      <c r="L66" s="14" t="s">
        <v>284</v>
      </c>
      <c r="M66" s="15">
        <v>0</v>
      </c>
      <c r="N66" s="14" t="s">
        <v>284</v>
      </c>
      <c r="O66" s="15">
        <v>0</v>
      </c>
      <c r="P66" s="14">
        <v>18.55</v>
      </c>
      <c r="Q66" s="15">
        <v>0</v>
      </c>
      <c r="R66" s="14">
        <v>9.91</v>
      </c>
      <c r="S66" s="15">
        <v>0</v>
      </c>
      <c r="T66" s="14" t="s">
        <v>284</v>
      </c>
      <c r="U66" s="15">
        <v>0</v>
      </c>
      <c r="V66" s="14">
        <v>310.22000000000003</v>
      </c>
      <c r="W66" s="15">
        <v>0</v>
      </c>
      <c r="X66" s="14" t="s">
        <v>284</v>
      </c>
      <c r="Y66" s="15">
        <v>0</v>
      </c>
      <c r="Z66" s="14" t="s">
        <v>284</v>
      </c>
      <c r="AA66" s="15">
        <v>0</v>
      </c>
      <c r="AB66" s="14" t="s">
        <v>284</v>
      </c>
      <c r="AC66" s="15">
        <v>0</v>
      </c>
      <c r="AD66" s="14" t="s">
        <v>284</v>
      </c>
      <c r="AE66" s="15">
        <v>0</v>
      </c>
      <c r="AF66" s="14" t="s">
        <v>284</v>
      </c>
      <c r="AG66" s="15">
        <v>0</v>
      </c>
    </row>
    <row r="67" spans="1:33" x14ac:dyDescent="0.2">
      <c r="A67" s="2" t="s">
        <v>3</v>
      </c>
      <c r="B67" s="3" t="s">
        <v>35</v>
      </c>
      <c r="C67" s="2" t="s">
        <v>50</v>
      </c>
      <c r="D67" s="6" t="s">
        <v>185</v>
      </c>
      <c r="E67" s="12" t="s">
        <v>0</v>
      </c>
      <c r="F67" s="14" t="s">
        <v>284</v>
      </c>
      <c r="G67" s="15">
        <v>0</v>
      </c>
      <c r="H67" s="14" t="s">
        <v>284</v>
      </c>
      <c r="I67" s="15">
        <v>0</v>
      </c>
      <c r="J67" s="14" t="s">
        <v>284</v>
      </c>
      <c r="K67" s="15">
        <v>0</v>
      </c>
      <c r="L67" s="14" t="s">
        <v>284</v>
      </c>
      <c r="M67" s="15">
        <v>0</v>
      </c>
      <c r="N67" s="14" t="s">
        <v>284</v>
      </c>
      <c r="O67" s="15">
        <v>0</v>
      </c>
      <c r="P67" s="14">
        <v>94.03</v>
      </c>
      <c r="Q67" s="15">
        <v>0</v>
      </c>
      <c r="R67" s="14">
        <v>6.49</v>
      </c>
      <c r="S67" s="15">
        <v>0</v>
      </c>
      <c r="T67" s="14" t="s">
        <v>284</v>
      </c>
      <c r="U67" s="15">
        <v>0</v>
      </c>
      <c r="V67" s="14">
        <v>497.67</v>
      </c>
      <c r="W67" s="15">
        <v>0</v>
      </c>
      <c r="X67" s="14" t="s">
        <v>284</v>
      </c>
      <c r="Y67" s="15">
        <v>0</v>
      </c>
      <c r="Z67" s="14" t="s">
        <v>284</v>
      </c>
      <c r="AA67" s="15">
        <v>0</v>
      </c>
      <c r="AB67" s="14" t="s">
        <v>284</v>
      </c>
      <c r="AC67" s="15">
        <v>0</v>
      </c>
      <c r="AD67" s="14" t="s">
        <v>284</v>
      </c>
      <c r="AE67" s="15">
        <v>0</v>
      </c>
      <c r="AF67" s="14" t="s">
        <v>284</v>
      </c>
      <c r="AG67" s="15">
        <v>0</v>
      </c>
    </row>
    <row r="68" spans="1:33" x14ac:dyDescent="0.2">
      <c r="A68" s="2" t="s">
        <v>3</v>
      </c>
      <c r="B68" s="3" t="s">
        <v>35</v>
      </c>
      <c r="C68" s="2" t="s">
        <v>49</v>
      </c>
      <c r="D68" s="6" t="s">
        <v>186</v>
      </c>
      <c r="E68" s="12" t="s">
        <v>0</v>
      </c>
      <c r="F68" s="14" t="s">
        <v>284</v>
      </c>
      <c r="G68" s="15">
        <v>0</v>
      </c>
      <c r="H68" s="14" t="s">
        <v>284</v>
      </c>
      <c r="I68" s="15">
        <v>0</v>
      </c>
      <c r="J68" s="14" t="s">
        <v>284</v>
      </c>
      <c r="K68" s="15">
        <v>0</v>
      </c>
      <c r="L68" s="14" t="s">
        <v>284</v>
      </c>
      <c r="M68" s="15">
        <v>0</v>
      </c>
      <c r="N68" s="14">
        <v>6.32</v>
      </c>
      <c r="O68" s="15">
        <v>0</v>
      </c>
      <c r="P68" s="14">
        <v>13.61</v>
      </c>
      <c r="Q68" s="15">
        <v>0</v>
      </c>
      <c r="R68" s="14">
        <v>14.37</v>
      </c>
      <c r="S68" s="15">
        <v>0</v>
      </c>
      <c r="T68" s="14" t="s">
        <v>284</v>
      </c>
      <c r="U68" s="15">
        <v>0</v>
      </c>
      <c r="V68" s="14">
        <v>701.63</v>
      </c>
      <c r="W68" s="15">
        <v>0</v>
      </c>
      <c r="X68" s="14" t="s">
        <v>284</v>
      </c>
      <c r="Y68" s="15">
        <v>0</v>
      </c>
      <c r="Z68" s="14" t="s">
        <v>284</v>
      </c>
      <c r="AA68" s="15">
        <v>0</v>
      </c>
      <c r="AB68" s="14" t="s">
        <v>284</v>
      </c>
      <c r="AC68" s="15">
        <v>0</v>
      </c>
      <c r="AD68" s="14" t="s">
        <v>284</v>
      </c>
      <c r="AE68" s="15">
        <v>0</v>
      </c>
      <c r="AF68" s="14" t="s">
        <v>284</v>
      </c>
      <c r="AG68" s="15">
        <v>0</v>
      </c>
    </row>
    <row r="69" spans="1:33" x14ac:dyDescent="0.2">
      <c r="A69" s="2" t="s">
        <v>3</v>
      </c>
      <c r="B69" s="3" t="s">
        <v>35</v>
      </c>
      <c r="C69" s="2" t="s">
        <v>48</v>
      </c>
      <c r="D69" s="6" t="s">
        <v>187</v>
      </c>
      <c r="E69" s="12" t="s">
        <v>0</v>
      </c>
      <c r="F69" s="14" t="s">
        <v>284</v>
      </c>
      <c r="G69" s="15">
        <v>0</v>
      </c>
      <c r="H69" s="14" t="s">
        <v>284</v>
      </c>
      <c r="I69" s="15">
        <v>0</v>
      </c>
      <c r="J69" s="14" t="s">
        <v>284</v>
      </c>
      <c r="K69" s="15">
        <v>0</v>
      </c>
      <c r="L69" s="14" t="s">
        <v>284</v>
      </c>
      <c r="M69" s="15">
        <v>0</v>
      </c>
      <c r="N69" s="14" t="s">
        <v>284</v>
      </c>
      <c r="O69" s="15">
        <v>0</v>
      </c>
      <c r="P69" s="14">
        <v>24.86</v>
      </c>
      <c r="Q69" s="15">
        <v>0</v>
      </c>
      <c r="R69" s="14">
        <v>8.5399999999999991</v>
      </c>
      <c r="S69" s="15">
        <v>0</v>
      </c>
      <c r="T69" s="14" t="s">
        <v>284</v>
      </c>
      <c r="U69" s="15">
        <v>0</v>
      </c>
      <c r="V69" s="14">
        <v>715.03</v>
      </c>
      <c r="W69" s="15">
        <v>0</v>
      </c>
      <c r="X69" s="14" t="s">
        <v>284</v>
      </c>
      <c r="Y69" s="15">
        <v>0</v>
      </c>
      <c r="Z69" s="14" t="s">
        <v>284</v>
      </c>
      <c r="AA69" s="15">
        <v>0</v>
      </c>
      <c r="AB69" s="14" t="s">
        <v>284</v>
      </c>
      <c r="AC69" s="15">
        <v>0</v>
      </c>
      <c r="AD69" s="14" t="s">
        <v>284</v>
      </c>
      <c r="AE69" s="15">
        <v>0</v>
      </c>
      <c r="AF69" s="14" t="s">
        <v>284</v>
      </c>
      <c r="AG69" s="15">
        <v>0</v>
      </c>
    </row>
    <row r="70" spans="1:33" x14ac:dyDescent="0.2">
      <c r="A70" s="2" t="s">
        <v>3</v>
      </c>
      <c r="B70" s="3" t="s">
        <v>35</v>
      </c>
      <c r="C70" s="2" t="s">
        <v>47</v>
      </c>
      <c r="D70" s="6" t="s">
        <v>188</v>
      </c>
      <c r="E70" s="12" t="s">
        <v>0</v>
      </c>
      <c r="F70" s="14" t="s">
        <v>284</v>
      </c>
      <c r="G70" s="15">
        <v>0</v>
      </c>
      <c r="H70" s="14" t="s">
        <v>284</v>
      </c>
      <c r="I70" s="15">
        <v>0</v>
      </c>
      <c r="J70" s="14" t="s">
        <v>284</v>
      </c>
      <c r="K70" s="15">
        <v>0</v>
      </c>
      <c r="L70" s="14" t="s">
        <v>284</v>
      </c>
      <c r="M70" s="15">
        <v>0</v>
      </c>
      <c r="N70" s="14" t="s">
        <v>284</v>
      </c>
      <c r="O70" s="15">
        <v>0</v>
      </c>
      <c r="P70" s="14" t="s">
        <v>284</v>
      </c>
      <c r="Q70" s="15">
        <v>0</v>
      </c>
      <c r="R70" s="14">
        <v>5.41</v>
      </c>
      <c r="S70" s="15">
        <v>0</v>
      </c>
      <c r="T70" s="14">
        <v>3.35</v>
      </c>
      <c r="U70" s="15">
        <v>0</v>
      </c>
      <c r="V70" s="14">
        <v>584.04</v>
      </c>
      <c r="W70" s="15">
        <v>0</v>
      </c>
      <c r="X70" s="14" t="s">
        <v>284</v>
      </c>
      <c r="Y70" s="15">
        <v>0</v>
      </c>
      <c r="Z70" s="14" t="s">
        <v>284</v>
      </c>
      <c r="AA70" s="15">
        <v>0</v>
      </c>
      <c r="AB70" s="14" t="s">
        <v>284</v>
      </c>
      <c r="AC70" s="15">
        <v>0</v>
      </c>
      <c r="AD70" s="14" t="s">
        <v>284</v>
      </c>
      <c r="AE70" s="15">
        <v>0</v>
      </c>
      <c r="AF70" s="14" t="s">
        <v>284</v>
      </c>
      <c r="AG70" s="15">
        <v>0</v>
      </c>
    </row>
    <row r="71" spans="1:33" x14ac:dyDescent="0.2">
      <c r="A71" s="2" t="s">
        <v>3</v>
      </c>
      <c r="B71" s="3" t="s">
        <v>35</v>
      </c>
      <c r="C71" s="2" t="s">
        <v>46</v>
      </c>
      <c r="D71" s="6" t="s">
        <v>189</v>
      </c>
      <c r="E71" s="12" t="s">
        <v>0</v>
      </c>
      <c r="F71" s="14" t="s">
        <v>284</v>
      </c>
      <c r="G71" s="15">
        <v>0</v>
      </c>
      <c r="H71" s="14" t="s">
        <v>284</v>
      </c>
      <c r="I71" s="15">
        <v>0</v>
      </c>
      <c r="J71" s="14" t="s">
        <v>284</v>
      </c>
      <c r="K71" s="15">
        <v>0</v>
      </c>
      <c r="L71" s="14" t="s">
        <v>284</v>
      </c>
      <c r="M71" s="15">
        <v>0</v>
      </c>
      <c r="N71" s="14" t="s">
        <v>284</v>
      </c>
      <c r="O71" s="15">
        <v>0</v>
      </c>
      <c r="P71" s="14">
        <v>21.74</v>
      </c>
      <c r="Q71" s="15">
        <v>0</v>
      </c>
      <c r="R71" s="14">
        <v>17.559999999999999</v>
      </c>
      <c r="S71" s="15">
        <v>0</v>
      </c>
      <c r="T71" s="14" t="s">
        <v>284</v>
      </c>
      <c r="U71" s="15">
        <v>0</v>
      </c>
      <c r="V71" s="14">
        <v>881.99</v>
      </c>
      <c r="W71" s="15">
        <v>0</v>
      </c>
      <c r="X71" s="14" t="s">
        <v>284</v>
      </c>
      <c r="Y71" s="15">
        <v>0</v>
      </c>
      <c r="Z71" s="14" t="s">
        <v>284</v>
      </c>
      <c r="AA71" s="15">
        <v>0</v>
      </c>
      <c r="AB71" s="14" t="s">
        <v>284</v>
      </c>
      <c r="AC71" s="15">
        <v>0</v>
      </c>
      <c r="AD71" s="14" t="s">
        <v>284</v>
      </c>
      <c r="AE71" s="15">
        <v>0</v>
      </c>
      <c r="AF71" s="14" t="s">
        <v>284</v>
      </c>
      <c r="AG71" s="15">
        <v>0</v>
      </c>
    </row>
    <row r="72" spans="1:33" x14ac:dyDescent="0.2">
      <c r="A72" s="2" t="s">
        <v>3</v>
      </c>
      <c r="B72" s="3" t="s">
        <v>35</v>
      </c>
      <c r="C72" s="2" t="s">
        <v>45</v>
      </c>
      <c r="D72" s="6" t="s">
        <v>190</v>
      </c>
      <c r="E72" s="12" t="s">
        <v>0</v>
      </c>
      <c r="F72" s="14" t="s">
        <v>284</v>
      </c>
      <c r="G72" s="15">
        <v>0</v>
      </c>
      <c r="H72" s="14" t="s">
        <v>284</v>
      </c>
      <c r="I72" s="15">
        <v>0</v>
      </c>
      <c r="J72" s="14" t="s">
        <v>284</v>
      </c>
      <c r="K72" s="15">
        <v>0</v>
      </c>
      <c r="L72" s="14" t="s">
        <v>284</v>
      </c>
      <c r="M72" s="15">
        <v>0</v>
      </c>
      <c r="N72" s="14" t="s">
        <v>284</v>
      </c>
      <c r="O72" s="15">
        <v>0</v>
      </c>
      <c r="P72" s="14" t="s">
        <v>284</v>
      </c>
      <c r="Q72" s="15">
        <v>0</v>
      </c>
      <c r="R72" s="14">
        <v>5.96</v>
      </c>
      <c r="S72" s="15">
        <v>0</v>
      </c>
      <c r="T72" s="14" t="s">
        <v>284</v>
      </c>
      <c r="U72" s="15">
        <v>0</v>
      </c>
      <c r="V72" s="14">
        <v>346</v>
      </c>
      <c r="W72" s="15">
        <v>0</v>
      </c>
      <c r="X72" s="14" t="s">
        <v>284</v>
      </c>
      <c r="Y72" s="15">
        <v>0</v>
      </c>
      <c r="Z72" s="14" t="s">
        <v>284</v>
      </c>
      <c r="AA72" s="15">
        <v>0</v>
      </c>
      <c r="AB72" s="14" t="s">
        <v>284</v>
      </c>
      <c r="AC72" s="15">
        <v>0</v>
      </c>
      <c r="AD72" s="14" t="s">
        <v>284</v>
      </c>
      <c r="AE72" s="15">
        <v>0</v>
      </c>
      <c r="AF72" s="14" t="s">
        <v>284</v>
      </c>
      <c r="AG72" s="15">
        <v>0</v>
      </c>
    </row>
    <row r="73" spans="1:33" x14ac:dyDescent="0.2">
      <c r="A73" s="2" t="s">
        <v>3</v>
      </c>
      <c r="B73" s="3" t="s">
        <v>35</v>
      </c>
      <c r="C73" s="2" t="s">
        <v>44</v>
      </c>
      <c r="D73" s="6" t="s">
        <v>191</v>
      </c>
      <c r="E73" s="12" t="s">
        <v>0</v>
      </c>
      <c r="F73" s="14" t="s">
        <v>284</v>
      </c>
      <c r="G73" s="15">
        <v>0</v>
      </c>
      <c r="H73" s="14" t="s">
        <v>284</v>
      </c>
      <c r="I73" s="15">
        <v>0</v>
      </c>
      <c r="J73" s="14" t="s">
        <v>284</v>
      </c>
      <c r="K73" s="15">
        <v>0</v>
      </c>
      <c r="L73" s="14" t="s">
        <v>284</v>
      </c>
      <c r="M73" s="15">
        <v>0</v>
      </c>
      <c r="N73" s="14" t="s">
        <v>284</v>
      </c>
      <c r="O73" s="15">
        <v>0</v>
      </c>
      <c r="P73" s="14">
        <v>99.1</v>
      </c>
      <c r="Q73" s="15">
        <v>0</v>
      </c>
      <c r="R73" s="14">
        <v>53.61</v>
      </c>
      <c r="S73" s="15">
        <v>0</v>
      </c>
      <c r="T73" s="14">
        <v>9.86</v>
      </c>
      <c r="U73" s="15">
        <v>0</v>
      </c>
      <c r="V73" s="14">
        <v>1452.91</v>
      </c>
      <c r="W73" s="15">
        <v>0</v>
      </c>
      <c r="X73" s="14" t="s">
        <v>284</v>
      </c>
      <c r="Y73" s="15">
        <v>0</v>
      </c>
      <c r="Z73" s="14" t="s">
        <v>284</v>
      </c>
      <c r="AA73" s="15">
        <v>0</v>
      </c>
      <c r="AB73" s="14" t="s">
        <v>284</v>
      </c>
      <c r="AC73" s="15">
        <v>0</v>
      </c>
      <c r="AD73" s="14" t="s">
        <v>284</v>
      </c>
      <c r="AE73" s="15">
        <v>0</v>
      </c>
      <c r="AF73" s="14" t="s">
        <v>284</v>
      </c>
      <c r="AG73" s="15">
        <v>0</v>
      </c>
    </row>
    <row r="74" spans="1:33" x14ac:dyDescent="0.2">
      <c r="A74" s="2" t="s">
        <v>3</v>
      </c>
      <c r="B74" s="3" t="s">
        <v>35</v>
      </c>
      <c r="C74" s="2" t="s">
        <v>43</v>
      </c>
      <c r="D74" s="6" t="s">
        <v>192</v>
      </c>
      <c r="E74" s="12" t="s">
        <v>0</v>
      </c>
      <c r="F74" s="14" t="s">
        <v>284</v>
      </c>
      <c r="G74" s="15">
        <v>0</v>
      </c>
      <c r="H74" s="14" t="s">
        <v>284</v>
      </c>
      <c r="I74" s="15">
        <v>0</v>
      </c>
      <c r="J74" s="14" t="s">
        <v>284</v>
      </c>
      <c r="K74" s="15">
        <v>0</v>
      </c>
      <c r="L74" s="14" t="s">
        <v>284</v>
      </c>
      <c r="M74" s="15">
        <v>0</v>
      </c>
      <c r="N74" s="14" t="s">
        <v>284</v>
      </c>
      <c r="O74" s="15">
        <v>0</v>
      </c>
      <c r="P74" s="14">
        <v>16.11</v>
      </c>
      <c r="Q74" s="15">
        <v>0</v>
      </c>
      <c r="R74" s="14">
        <v>20.76</v>
      </c>
      <c r="S74" s="15">
        <v>0</v>
      </c>
      <c r="T74" s="14" t="s">
        <v>284</v>
      </c>
      <c r="U74" s="15">
        <v>0</v>
      </c>
      <c r="V74" s="14">
        <v>774.66</v>
      </c>
      <c r="W74" s="15">
        <v>0</v>
      </c>
      <c r="X74" s="14" t="s">
        <v>284</v>
      </c>
      <c r="Y74" s="15">
        <v>0</v>
      </c>
      <c r="Z74" s="14" t="s">
        <v>284</v>
      </c>
      <c r="AA74" s="15">
        <v>0</v>
      </c>
      <c r="AB74" s="14" t="s">
        <v>284</v>
      </c>
      <c r="AC74" s="15">
        <v>0</v>
      </c>
      <c r="AD74" s="14" t="s">
        <v>284</v>
      </c>
      <c r="AE74" s="15">
        <v>0</v>
      </c>
      <c r="AF74" s="14" t="s">
        <v>284</v>
      </c>
      <c r="AG74" s="15">
        <v>0</v>
      </c>
    </row>
    <row r="75" spans="1:33" x14ac:dyDescent="0.2">
      <c r="A75" s="2" t="s">
        <v>3</v>
      </c>
      <c r="B75" s="3" t="s">
        <v>35</v>
      </c>
      <c r="C75" s="2" t="s">
        <v>42</v>
      </c>
      <c r="D75" s="6" t="s">
        <v>193</v>
      </c>
      <c r="E75" s="12" t="s">
        <v>0</v>
      </c>
      <c r="F75" s="14" t="s">
        <v>284</v>
      </c>
      <c r="G75" s="15">
        <v>0</v>
      </c>
      <c r="H75" s="14" t="s">
        <v>284</v>
      </c>
      <c r="I75" s="15">
        <v>0</v>
      </c>
      <c r="J75" s="14" t="s">
        <v>284</v>
      </c>
      <c r="K75" s="15">
        <v>0</v>
      </c>
      <c r="L75" s="14" t="s">
        <v>284</v>
      </c>
      <c r="M75" s="15">
        <v>0</v>
      </c>
      <c r="N75" s="14" t="s">
        <v>284</v>
      </c>
      <c r="O75" s="15">
        <v>0</v>
      </c>
      <c r="P75" s="14">
        <v>16.11</v>
      </c>
      <c r="Q75" s="15">
        <v>0</v>
      </c>
      <c r="R75" s="14">
        <v>6.49</v>
      </c>
      <c r="S75" s="15">
        <v>0</v>
      </c>
      <c r="T75" s="14" t="s">
        <v>284</v>
      </c>
      <c r="U75" s="15">
        <v>0</v>
      </c>
      <c r="V75" s="14">
        <v>488.31</v>
      </c>
      <c r="W75" s="15">
        <v>0</v>
      </c>
      <c r="X75" s="14" t="s">
        <v>284</v>
      </c>
      <c r="Y75" s="15">
        <v>0</v>
      </c>
      <c r="Z75" s="14" t="s">
        <v>284</v>
      </c>
      <c r="AA75" s="15">
        <v>0</v>
      </c>
      <c r="AB75" s="14" t="s">
        <v>284</v>
      </c>
      <c r="AC75" s="15">
        <v>0</v>
      </c>
      <c r="AD75" s="14" t="s">
        <v>284</v>
      </c>
      <c r="AE75" s="15">
        <v>0</v>
      </c>
      <c r="AF75" s="14" t="s">
        <v>284</v>
      </c>
      <c r="AG75" s="15">
        <v>0</v>
      </c>
    </row>
    <row r="76" spans="1:33" x14ac:dyDescent="0.2">
      <c r="A76" s="2" t="s">
        <v>3</v>
      </c>
      <c r="B76" s="3" t="s">
        <v>35</v>
      </c>
      <c r="C76" s="2" t="s">
        <v>41</v>
      </c>
      <c r="D76" s="6" t="s">
        <v>194</v>
      </c>
      <c r="E76" s="12" t="s">
        <v>0</v>
      </c>
      <c r="F76" s="14" t="s">
        <v>284</v>
      </c>
      <c r="G76" s="15">
        <v>0</v>
      </c>
      <c r="H76" s="14" t="s">
        <v>284</v>
      </c>
      <c r="I76" s="15">
        <v>0</v>
      </c>
      <c r="J76" s="14" t="s">
        <v>284</v>
      </c>
      <c r="K76" s="15">
        <v>0</v>
      </c>
      <c r="L76" s="14" t="s">
        <v>284</v>
      </c>
      <c r="M76" s="15">
        <v>0</v>
      </c>
      <c r="N76" s="14" t="s">
        <v>284</v>
      </c>
      <c r="O76" s="15">
        <v>0</v>
      </c>
      <c r="P76" s="14">
        <v>14.45</v>
      </c>
      <c r="Q76" s="15">
        <v>0</v>
      </c>
      <c r="R76" s="14" t="s">
        <v>284</v>
      </c>
      <c r="S76" s="15">
        <v>0</v>
      </c>
      <c r="T76" s="14" t="s">
        <v>284</v>
      </c>
      <c r="U76" s="15">
        <v>0</v>
      </c>
      <c r="V76" s="14">
        <v>276.13</v>
      </c>
      <c r="W76" s="15">
        <v>0</v>
      </c>
      <c r="X76" s="14" t="s">
        <v>284</v>
      </c>
      <c r="Y76" s="15">
        <v>0</v>
      </c>
      <c r="Z76" s="14" t="s">
        <v>284</v>
      </c>
      <c r="AA76" s="15">
        <v>0</v>
      </c>
      <c r="AB76" s="14" t="s">
        <v>284</v>
      </c>
      <c r="AC76" s="15">
        <v>0</v>
      </c>
      <c r="AD76" s="14" t="s">
        <v>284</v>
      </c>
      <c r="AE76" s="15">
        <v>0</v>
      </c>
      <c r="AF76" s="14" t="s">
        <v>284</v>
      </c>
      <c r="AG76" s="15">
        <v>0</v>
      </c>
    </row>
    <row r="77" spans="1:33" x14ac:dyDescent="0.2">
      <c r="A77" s="2" t="s">
        <v>3</v>
      </c>
      <c r="B77" s="3" t="s">
        <v>35</v>
      </c>
      <c r="C77" s="2" t="s">
        <v>40</v>
      </c>
      <c r="D77" s="6" t="s">
        <v>195</v>
      </c>
      <c r="E77" s="12" t="s">
        <v>0</v>
      </c>
      <c r="F77" s="14" t="s">
        <v>284</v>
      </c>
      <c r="G77" s="15">
        <v>0</v>
      </c>
      <c r="H77" s="14" t="s">
        <v>284</v>
      </c>
      <c r="I77" s="15">
        <v>0</v>
      </c>
      <c r="J77" s="14" t="s">
        <v>284</v>
      </c>
      <c r="K77" s="15">
        <v>0</v>
      </c>
      <c r="L77" s="14" t="s">
        <v>284</v>
      </c>
      <c r="M77" s="15">
        <v>0</v>
      </c>
      <c r="N77" s="14" t="s">
        <v>284</v>
      </c>
      <c r="O77" s="15">
        <v>0</v>
      </c>
      <c r="P77" s="14">
        <v>879.06</v>
      </c>
      <c r="Q77" s="15">
        <v>0</v>
      </c>
      <c r="R77" s="14">
        <v>227.43</v>
      </c>
      <c r="S77" s="15">
        <v>0</v>
      </c>
      <c r="T77" s="14">
        <v>34.909999999999997</v>
      </c>
      <c r="U77" s="15">
        <v>0</v>
      </c>
      <c r="V77" s="14">
        <v>1076</v>
      </c>
      <c r="W77" s="15">
        <v>0</v>
      </c>
      <c r="X77" s="14" t="s">
        <v>284</v>
      </c>
      <c r="Y77" s="15">
        <v>0</v>
      </c>
      <c r="Z77" s="14" t="s">
        <v>284</v>
      </c>
      <c r="AA77" s="15">
        <v>0</v>
      </c>
      <c r="AB77" s="14" t="s">
        <v>284</v>
      </c>
      <c r="AC77" s="15">
        <v>0</v>
      </c>
      <c r="AD77" s="14" t="s">
        <v>284</v>
      </c>
      <c r="AE77" s="15">
        <v>0</v>
      </c>
      <c r="AF77" s="14" t="s">
        <v>284</v>
      </c>
      <c r="AG77" s="15">
        <v>0</v>
      </c>
    </row>
    <row r="78" spans="1:33" x14ac:dyDescent="0.2">
      <c r="A78" s="2" t="s">
        <v>3</v>
      </c>
      <c r="B78" s="3" t="s">
        <v>35</v>
      </c>
      <c r="C78" s="2" t="s">
        <v>39</v>
      </c>
      <c r="D78" s="6" t="s">
        <v>196</v>
      </c>
      <c r="E78" s="12" t="s">
        <v>0</v>
      </c>
      <c r="F78" s="14" t="s">
        <v>284</v>
      </c>
      <c r="G78" s="15">
        <v>0</v>
      </c>
      <c r="H78" s="14" t="s">
        <v>284</v>
      </c>
      <c r="I78" s="15">
        <v>0</v>
      </c>
      <c r="J78" s="14" t="s">
        <v>284</v>
      </c>
      <c r="K78" s="15">
        <v>0</v>
      </c>
      <c r="L78" s="14" t="s">
        <v>284</v>
      </c>
      <c r="M78" s="15">
        <v>0</v>
      </c>
      <c r="N78" s="14" t="s">
        <v>284</v>
      </c>
      <c r="O78" s="15">
        <v>0</v>
      </c>
      <c r="P78" s="14">
        <v>2566.4</v>
      </c>
      <c r="Q78" s="15">
        <v>0</v>
      </c>
      <c r="R78" s="14">
        <v>1088.49</v>
      </c>
      <c r="S78" s="15">
        <v>0</v>
      </c>
      <c r="T78" s="14">
        <v>422.07</v>
      </c>
      <c r="U78" s="15">
        <v>0</v>
      </c>
      <c r="V78" s="14">
        <v>545.49</v>
      </c>
      <c r="W78" s="15">
        <v>0</v>
      </c>
      <c r="X78" s="14" t="s">
        <v>284</v>
      </c>
      <c r="Y78" s="15">
        <v>0</v>
      </c>
      <c r="Z78" s="14" t="s">
        <v>284</v>
      </c>
      <c r="AA78" s="15">
        <v>0</v>
      </c>
      <c r="AB78" s="14" t="s">
        <v>284</v>
      </c>
      <c r="AC78" s="15">
        <v>0</v>
      </c>
      <c r="AD78" s="14" t="s">
        <v>284</v>
      </c>
      <c r="AE78" s="15">
        <v>0</v>
      </c>
      <c r="AF78" s="14" t="s">
        <v>284</v>
      </c>
      <c r="AG78" s="15">
        <v>0</v>
      </c>
    </row>
    <row r="79" spans="1:33" x14ac:dyDescent="0.2">
      <c r="A79" s="2" t="s">
        <v>3</v>
      </c>
      <c r="B79" s="3" t="s">
        <v>35</v>
      </c>
      <c r="C79" s="2" t="s">
        <v>38</v>
      </c>
      <c r="D79" s="6" t="s">
        <v>197</v>
      </c>
      <c r="E79" s="12" t="s">
        <v>0</v>
      </c>
      <c r="F79" s="14" t="s">
        <v>284</v>
      </c>
      <c r="G79" s="15">
        <v>0</v>
      </c>
      <c r="H79" s="14" t="s">
        <v>284</v>
      </c>
      <c r="I79" s="15">
        <v>0</v>
      </c>
      <c r="J79" s="14" t="s">
        <v>284</v>
      </c>
      <c r="K79" s="15">
        <v>0</v>
      </c>
      <c r="L79" s="14" t="s">
        <v>284</v>
      </c>
      <c r="M79" s="15">
        <v>0</v>
      </c>
      <c r="N79" s="14" t="s">
        <v>284</v>
      </c>
      <c r="O79" s="15">
        <v>0</v>
      </c>
      <c r="P79" s="14">
        <v>49.67</v>
      </c>
      <c r="Q79" s="15">
        <v>0</v>
      </c>
      <c r="R79" s="14">
        <v>16.420000000000002</v>
      </c>
      <c r="S79" s="15">
        <v>0</v>
      </c>
      <c r="T79" s="14">
        <v>5.87</v>
      </c>
      <c r="U79" s="15">
        <v>0</v>
      </c>
      <c r="V79" s="14">
        <v>330.96</v>
      </c>
      <c r="W79" s="15">
        <v>0</v>
      </c>
      <c r="X79" s="14" t="s">
        <v>284</v>
      </c>
      <c r="Y79" s="15">
        <v>0</v>
      </c>
      <c r="Z79" s="14" t="s">
        <v>284</v>
      </c>
      <c r="AA79" s="15">
        <v>0</v>
      </c>
      <c r="AB79" s="14" t="s">
        <v>284</v>
      </c>
      <c r="AC79" s="15">
        <v>0</v>
      </c>
      <c r="AD79" s="14" t="s">
        <v>284</v>
      </c>
      <c r="AE79" s="15">
        <v>0</v>
      </c>
      <c r="AF79" s="14" t="s">
        <v>284</v>
      </c>
      <c r="AG79" s="15">
        <v>0</v>
      </c>
    </row>
    <row r="80" spans="1:33" x14ac:dyDescent="0.2">
      <c r="A80" s="2" t="s">
        <v>3</v>
      </c>
      <c r="B80" s="3" t="s">
        <v>35</v>
      </c>
      <c r="C80" s="2" t="s">
        <v>37</v>
      </c>
      <c r="D80" s="6" t="s">
        <v>198</v>
      </c>
      <c r="E80" s="12" t="s">
        <v>0</v>
      </c>
      <c r="F80" s="14" t="s">
        <v>284</v>
      </c>
      <c r="G80" s="15">
        <v>0</v>
      </c>
      <c r="H80" s="14" t="s">
        <v>284</v>
      </c>
      <c r="I80" s="15">
        <v>0</v>
      </c>
      <c r="J80" s="14" t="s">
        <v>284</v>
      </c>
      <c r="K80" s="15">
        <v>0</v>
      </c>
      <c r="L80" s="14" t="s">
        <v>284</v>
      </c>
      <c r="M80" s="15">
        <v>0</v>
      </c>
      <c r="N80" s="14" t="s">
        <v>284</v>
      </c>
      <c r="O80" s="15">
        <v>0</v>
      </c>
      <c r="P80" s="14">
        <v>466.22</v>
      </c>
      <c r="Q80" s="15">
        <v>0</v>
      </c>
      <c r="R80" s="14">
        <v>12.64</v>
      </c>
      <c r="S80" s="15">
        <v>0</v>
      </c>
      <c r="T80" s="14">
        <v>9.61</v>
      </c>
      <c r="U80" s="15">
        <v>0</v>
      </c>
      <c r="V80" s="14">
        <v>364.78</v>
      </c>
      <c r="W80" s="15">
        <v>0</v>
      </c>
      <c r="X80" s="14" t="s">
        <v>284</v>
      </c>
      <c r="Y80" s="15">
        <v>0</v>
      </c>
      <c r="Z80" s="14" t="s">
        <v>284</v>
      </c>
      <c r="AA80" s="15">
        <v>0</v>
      </c>
      <c r="AB80" s="14" t="s">
        <v>284</v>
      </c>
      <c r="AC80" s="15">
        <v>0</v>
      </c>
      <c r="AD80" s="14" t="s">
        <v>284</v>
      </c>
      <c r="AE80" s="15">
        <v>0</v>
      </c>
      <c r="AF80" s="14" t="s">
        <v>284</v>
      </c>
      <c r="AG80" s="15">
        <v>0</v>
      </c>
    </row>
    <row r="81" spans="1:33" x14ac:dyDescent="0.2">
      <c r="A81" s="2" t="s">
        <v>3</v>
      </c>
      <c r="B81" s="3" t="s">
        <v>35</v>
      </c>
      <c r="C81" s="2" t="s">
        <v>36</v>
      </c>
      <c r="D81" s="6" t="s">
        <v>199</v>
      </c>
      <c r="E81" s="12" t="s">
        <v>0</v>
      </c>
      <c r="F81" s="14" t="s">
        <v>284</v>
      </c>
      <c r="G81" s="15">
        <v>0</v>
      </c>
      <c r="H81" s="14" t="s">
        <v>284</v>
      </c>
      <c r="I81" s="15">
        <v>0</v>
      </c>
      <c r="J81" s="14" t="s">
        <v>284</v>
      </c>
      <c r="K81" s="15">
        <v>0</v>
      </c>
      <c r="L81" s="14" t="s">
        <v>284</v>
      </c>
      <c r="M81" s="15">
        <v>0</v>
      </c>
      <c r="N81" s="14" t="s">
        <v>284</v>
      </c>
      <c r="O81" s="15">
        <v>0</v>
      </c>
      <c r="P81" s="14">
        <v>101.62</v>
      </c>
      <c r="Q81" s="15">
        <v>0</v>
      </c>
      <c r="R81" s="14">
        <v>12.36</v>
      </c>
      <c r="S81" s="15">
        <v>0</v>
      </c>
      <c r="T81" s="14" t="s">
        <v>284</v>
      </c>
      <c r="U81" s="15">
        <v>0</v>
      </c>
      <c r="V81" s="14">
        <v>413.48</v>
      </c>
      <c r="W81" s="15">
        <v>0</v>
      </c>
      <c r="X81" s="14" t="s">
        <v>284</v>
      </c>
      <c r="Y81" s="15">
        <v>0</v>
      </c>
      <c r="Z81" s="14" t="s">
        <v>284</v>
      </c>
      <c r="AA81" s="15">
        <v>0</v>
      </c>
      <c r="AB81" s="14" t="s">
        <v>284</v>
      </c>
      <c r="AC81" s="15">
        <v>0</v>
      </c>
      <c r="AD81" s="14" t="s">
        <v>284</v>
      </c>
      <c r="AE81" s="15">
        <v>0</v>
      </c>
      <c r="AF81" s="14" t="s">
        <v>284</v>
      </c>
      <c r="AG81" s="15">
        <v>0</v>
      </c>
    </row>
    <row r="82" spans="1:33" x14ac:dyDescent="0.2">
      <c r="A82" s="2" t="s">
        <v>3</v>
      </c>
      <c r="B82" s="3" t="s">
        <v>35</v>
      </c>
      <c r="C82" s="2" t="s">
        <v>34</v>
      </c>
      <c r="D82" s="6" t="s">
        <v>200</v>
      </c>
      <c r="E82" s="12" t="s">
        <v>0</v>
      </c>
      <c r="F82" s="14" t="s">
        <v>284</v>
      </c>
      <c r="G82" s="15">
        <v>0</v>
      </c>
      <c r="H82" s="14" t="s">
        <v>284</v>
      </c>
      <c r="I82" s="15">
        <v>0</v>
      </c>
      <c r="J82" s="14" t="s">
        <v>284</v>
      </c>
      <c r="K82" s="15">
        <v>0</v>
      </c>
      <c r="L82" s="14" t="s">
        <v>284</v>
      </c>
      <c r="M82" s="15">
        <v>0</v>
      </c>
      <c r="N82" s="14" t="s">
        <v>284</v>
      </c>
      <c r="O82" s="15">
        <v>0</v>
      </c>
      <c r="P82" s="14">
        <v>53.14</v>
      </c>
      <c r="Q82" s="15">
        <v>0</v>
      </c>
      <c r="R82" s="14">
        <v>7.32</v>
      </c>
      <c r="S82" s="15">
        <v>0</v>
      </c>
      <c r="T82" s="14" t="s">
        <v>284</v>
      </c>
      <c r="U82" s="15">
        <v>0</v>
      </c>
      <c r="V82" s="14">
        <v>317.77</v>
      </c>
      <c r="W82" s="15">
        <v>0</v>
      </c>
      <c r="X82" s="14" t="s">
        <v>284</v>
      </c>
      <c r="Y82" s="15">
        <v>0</v>
      </c>
      <c r="Z82" s="14" t="s">
        <v>284</v>
      </c>
      <c r="AA82" s="15">
        <v>0</v>
      </c>
      <c r="AB82" s="14" t="s">
        <v>284</v>
      </c>
      <c r="AC82" s="15">
        <v>0</v>
      </c>
      <c r="AD82" s="14" t="s">
        <v>284</v>
      </c>
      <c r="AE82" s="15">
        <v>0</v>
      </c>
      <c r="AF82" s="14" t="s">
        <v>284</v>
      </c>
      <c r="AG82" s="15">
        <v>0</v>
      </c>
    </row>
    <row r="83" spans="1:33" x14ac:dyDescent="0.2">
      <c r="A83" s="2" t="s">
        <v>3</v>
      </c>
      <c r="B83" s="3" t="s">
        <v>2</v>
      </c>
      <c r="C83" s="2" t="s">
        <v>33</v>
      </c>
      <c r="D83" s="6" t="s">
        <v>201</v>
      </c>
      <c r="E83" s="12" t="s">
        <v>0</v>
      </c>
      <c r="F83" s="14" t="s">
        <v>284</v>
      </c>
      <c r="G83" s="15">
        <v>0</v>
      </c>
      <c r="H83" s="14" t="s">
        <v>284</v>
      </c>
      <c r="I83" s="15">
        <v>0</v>
      </c>
      <c r="J83" s="14" t="s">
        <v>284</v>
      </c>
      <c r="K83" s="15">
        <v>0</v>
      </c>
      <c r="L83" s="14" t="s">
        <v>284</v>
      </c>
      <c r="M83" s="15">
        <v>0</v>
      </c>
      <c r="N83" s="14" t="s">
        <v>284</v>
      </c>
      <c r="O83" s="15">
        <v>0</v>
      </c>
      <c r="P83" s="14">
        <v>20.16</v>
      </c>
      <c r="Q83" s="15">
        <v>0</v>
      </c>
      <c r="R83" s="14">
        <v>12.73</v>
      </c>
      <c r="S83" s="15">
        <v>0</v>
      </c>
      <c r="T83" s="14">
        <v>10.17</v>
      </c>
      <c r="U83" s="15">
        <v>0</v>
      </c>
      <c r="V83" s="14">
        <v>178.67</v>
      </c>
      <c r="W83" s="15">
        <v>0</v>
      </c>
      <c r="X83" s="14" t="s">
        <v>284</v>
      </c>
      <c r="Y83" s="15">
        <v>0</v>
      </c>
      <c r="Z83" s="14" t="s">
        <v>284</v>
      </c>
      <c r="AA83" s="15">
        <v>0</v>
      </c>
      <c r="AB83" s="14" t="s">
        <v>284</v>
      </c>
      <c r="AC83" s="15">
        <v>0</v>
      </c>
      <c r="AD83" s="14" t="s">
        <v>284</v>
      </c>
      <c r="AE83" s="15">
        <v>0</v>
      </c>
      <c r="AF83" s="14" t="s">
        <v>284</v>
      </c>
      <c r="AG83" s="15">
        <v>0</v>
      </c>
    </row>
    <row r="84" spans="1:33" x14ac:dyDescent="0.2">
      <c r="A84" s="2" t="s">
        <v>3</v>
      </c>
      <c r="B84" s="3" t="s">
        <v>2</v>
      </c>
      <c r="C84" s="2" t="s">
        <v>32</v>
      </c>
      <c r="D84" s="6" t="s">
        <v>202</v>
      </c>
      <c r="E84" s="12" t="s">
        <v>0</v>
      </c>
      <c r="F84" s="14" t="s">
        <v>284</v>
      </c>
      <c r="G84" s="15">
        <v>0</v>
      </c>
      <c r="H84" s="14" t="s">
        <v>284</v>
      </c>
      <c r="I84" s="15">
        <v>0</v>
      </c>
      <c r="J84" s="14" t="s">
        <v>284</v>
      </c>
      <c r="K84" s="15">
        <v>0</v>
      </c>
      <c r="L84" s="14" t="s">
        <v>284</v>
      </c>
      <c r="M84" s="15">
        <v>0</v>
      </c>
      <c r="N84" s="14" t="s">
        <v>284</v>
      </c>
      <c r="O84" s="15">
        <v>0</v>
      </c>
      <c r="P84" s="14">
        <v>27.93</v>
      </c>
      <c r="Q84" s="15">
        <v>0</v>
      </c>
      <c r="R84" s="14">
        <v>25.41</v>
      </c>
      <c r="S84" s="15">
        <v>0</v>
      </c>
      <c r="T84" s="14" t="s">
        <v>284</v>
      </c>
      <c r="U84" s="15">
        <v>0</v>
      </c>
      <c r="V84" s="14">
        <v>749.58</v>
      </c>
      <c r="W84" s="15">
        <v>0</v>
      </c>
      <c r="X84" s="14" t="s">
        <v>284</v>
      </c>
      <c r="Y84" s="15">
        <v>0</v>
      </c>
      <c r="Z84" s="14" t="s">
        <v>284</v>
      </c>
      <c r="AA84" s="15">
        <v>0</v>
      </c>
      <c r="AB84" s="14" t="s">
        <v>284</v>
      </c>
      <c r="AC84" s="15">
        <v>0</v>
      </c>
      <c r="AD84" s="14" t="s">
        <v>284</v>
      </c>
      <c r="AE84" s="15">
        <v>0</v>
      </c>
      <c r="AF84" s="14" t="s">
        <v>284</v>
      </c>
      <c r="AG84" s="15">
        <v>0</v>
      </c>
    </row>
    <row r="85" spans="1:33" x14ac:dyDescent="0.2">
      <c r="A85" s="2" t="s">
        <v>3</v>
      </c>
      <c r="B85" s="3" t="s">
        <v>2</v>
      </c>
      <c r="C85" s="2" t="s">
        <v>31</v>
      </c>
      <c r="D85" s="6" t="s">
        <v>203</v>
      </c>
      <c r="E85" s="12" t="s">
        <v>0</v>
      </c>
      <c r="F85" s="14" t="s">
        <v>284</v>
      </c>
      <c r="G85" s="15">
        <v>0</v>
      </c>
      <c r="H85" s="14" t="s">
        <v>284</v>
      </c>
      <c r="I85" s="15">
        <v>0</v>
      </c>
      <c r="J85" s="14" t="s">
        <v>284</v>
      </c>
      <c r="K85" s="15">
        <v>0</v>
      </c>
      <c r="L85" s="14" t="s">
        <v>284</v>
      </c>
      <c r="M85" s="15">
        <v>0</v>
      </c>
      <c r="N85" s="14" t="s">
        <v>284</v>
      </c>
      <c r="O85" s="15">
        <v>0</v>
      </c>
      <c r="P85" s="14">
        <v>46.16</v>
      </c>
      <c r="Q85" s="15">
        <v>0</v>
      </c>
      <c r="R85" s="14">
        <v>52.63</v>
      </c>
      <c r="S85" s="15">
        <v>0</v>
      </c>
      <c r="T85" s="14" t="s">
        <v>284</v>
      </c>
      <c r="U85" s="15">
        <v>0</v>
      </c>
      <c r="V85" s="14">
        <v>205.08</v>
      </c>
      <c r="W85" s="15">
        <v>0</v>
      </c>
      <c r="X85" s="14" t="s">
        <v>284</v>
      </c>
      <c r="Y85" s="15">
        <v>0</v>
      </c>
      <c r="Z85" s="14" t="s">
        <v>284</v>
      </c>
      <c r="AA85" s="15">
        <v>0</v>
      </c>
      <c r="AB85" s="14" t="s">
        <v>284</v>
      </c>
      <c r="AC85" s="15">
        <v>0</v>
      </c>
      <c r="AD85" s="14">
        <v>13.06</v>
      </c>
      <c r="AE85" s="15">
        <v>0</v>
      </c>
      <c r="AF85" s="14" t="s">
        <v>284</v>
      </c>
      <c r="AG85" s="15">
        <v>0</v>
      </c>
    </row>
    <row r="86" spans="1:33" x14ac:dyDescent="0.2">
      <c r="A86" s="2" t="s">
        <v>3</v>
      </c>
      <c r="B86" s="3" t="s">
        <v>2</v>
      </c>
      <c r="C86" s="2" t="s">
        <v>30</v>
      </c>
      <c r="D86" s="6" t="s">
        <v>204</v>
      </c>
      <c r="E86" s="12" t="s">
        <v>0</v>
      </c>
      <c r="F86" s="14" t="s">
        <v>284</v>
      </c>
      <c r="G86" s="15">
        <v>0</v>
      </c>
      <c r="H86" s="14" t="s">
        <v>284</v>
      </c>
      <c r="I86" s="15">
        <v>0</v>
      </c>
      <c r="J86" s="14" t="s">
        <v>284</v>
      </c>
      <c r="K86" s="15">
        <v>0</v>
      </c>
      <c r="L86" s="14" t="s">
        <v>284</v>
      </c>
      <c r="M86" s="15">
        <v>0</v>
      </c>
      <c r="N86" s="14">
        <v>42.71</v>
      </c>
      <c r="O86" s="15">
        <v>0</v>
      </c>
      <c r="P86" s="14">
        <v>2182</v>
      </c>
      <c r="Q86" s="15">
        <v>0</v>
      </c>
      <c r="R86" s="14">
        <v>315.57</v>
      </c>
      <c r="S86" s="15">
        <v>0</v>
      </c>
      <c r="T86" s="14">
        <v>48.47</v>
      </c>
      <c r="U86" s="15">
        <v>0</v>
      </c>
      <c r="V86" s="14">
        <v>403.19</v>
      </c>
      <c r="W86" s="15">
        <v>0</v>
      </c>
      <c r="X86" s="14" t="s">
        <v>284</v>
      </c>
      <c r="Y86" s="15">
        <v>0</v>
      </c>
      <c r="Z86" s="14" t="s">
        <v>284</v>
      </c>
      <c r="AA86" s="15">
        <v>0</v>
      </c>
      <c r="AB86" s="14" t="s">
        <v>284</v>
      </c>
      <c r="AC86" s="15">
        <v>0</v>
      </c>
      <c r="AD86" s="14" t="s">
        <v>284</v>
      </c>
      <c r="AE86" s="15">
        <v>0</v>
      </c>
      <c r="AF86" s="14" t="s">
        <v>284</v>
      </c>
      <c r="AG86" s="15">
        <v>0</v>
      </c>
    </row>
    <row r="87" spans="1:33" x14ac:dyDescent="0.2">
      <c r="A87" s="2" t="s">
        <v>3</v>
      </c>
      <c r="B87" s="3" t="s">
        <v>2</v>
      </c>
      <c r="C87" s="2" t="s">
        <v>29</v>
      </c>
      <c r="D87" s="6" t="s">
        <v>205</v>
      </c>
      <c r="E87" s="12" t="s">
        <v>0</v>
      </c>
      <c r="F87" s="14" t="s">
        <v>284</v>
      </c>
      <c r="G87" s="15">
        <v>0</v>
      </c>
      <c r="H87" s="14" t="s">
        <v>284</v>
      </c>
      <c r="I87" s="15">
        <v>0</v>
      </c>
      <c r="J87" s="14" t="s">
        <v>284</v>
      </c>
      <c r="K87" s="15">
        <v>0</v>
      </c>
      <c r="L87" s="14" t="s">
        <v>284</v>
      </c>
      <c r="M87" s="15">
        <v>0</v>
      </c>
      <c r="N87" s="14" t="s">
        <v>284</v>
      </c>
      <c r="O87" s="15">
        <v>0</v>
      </c>
      <c r="P87" s="14">
        <v>31.69</v>
      </c>
      <c r="Q87" s="15">
        <v>0</v>
      </c>
      <c r="R87" s="14">
        <v>12.54</v>
      </c>
      <c r="S87" s="15">
        <v>0</v>
      </c>
      <c r="T87" s="14">
        <v>18.25</v>
      </c>
      <c r="U87" s="15">
        <v>0</v>
      </c>
      <c r="V87" s="14">
        <v>525.78</v>
      </c>
      <c r="W87" s="15">
        <v>0</v>
      </c>
      <c r="X87" s="14" t="s">
        <v>284</v>
      </c>
      <c r="Y87" s="15">
        <v>0</v>
      </c>
      <c r="Z87" s="14" t="s">
        <v>284</v>
      </c>
      <c r="AA87" s="15">
        <v>0</v>
      </c>
      <c r="AB87" s="14" t="s">
        <v>284</v>
      </c>
      <c r="AC87" s="15">
        <v>0</v>
      </c>
      <c r="AD87" s="14" t="s">
        <v>284</v>
      </c>
      <c r="AE87" s="15">
        <v>0</v>
      </c>
      <c r="AF87" s="14" t="s">
        <v>284</v>
      </c>
      <c r="AG87" s="15">
        <v>0</v>
      </c>
    </row>
    <row r="88" spans="1:33" x14ac:dyDescent="0.2">
      <c r="A88" s="2" t="s">
        <v>3</v>
      </c>
      <c r="B88" s="3" t="s">
        <v>2</v>
      </c>
      <c r="C88" s="2" t="s">
        <v>28</v>
      </c>
      <c r="D88" s="6" t="s">
        <v>206</v>
      </c>
      <c r="E88" s="12" t="s">
        <v>0</v>
      </c>
      <c r="F88" s="14" t="s">
        <v>284</v>
      </c>
      <c r="G88" s="15">
        <v>0</v>
      </c>
      <c r="H88" s="14" t="s">
        <v>284</v>
      </c>
      <c r="I88" s="15">
        <v>0</v>
      </c>
      <c r="J88" s="14" t="s">
        <v>284</v>
      </c>
      <c r="K88" s="15">
        <v>0</v>
      </c>
      <c r="L88" s="14" t="s">
        <v>284</v>
      </c>
      <c r="M88" s="15">
        <v>0</v>
      </c>
      <c r="N88" s="14" t="s">
        <v>284</v>
      </c>
      <c r="O88" s="15">
        <v>0</v>
      </c>
      <c r="P88" s="14" t="s">
        <v>284</v>
      </c>
      <c r="Q88" s="15">
        <v>0</v>
      </c>
      <c r="R88" s="14">
        <v>29.57</v>
      </c>
      <c r="S88" s="15">
        <v>0</v>
      </c>
      <c r="T88" s="14" t="s">
        <v>578</v>
      </c>
      <c r="U88" s="15">
        <v>0</v>
      </c>
      <c r="V88" s="14">
        <v>654.01</v>
      </c>
      <c r="W88" s="15">
        <v>0</v>
      </c>
      <c r="X88" s="14" t="s">
        <v>284</v>
      </c>
      <c r="Y88" s="15">
        <v>0</v>
      </c>
      <c r="Z88" s="14" t="s">
        <v>284</v>
      </c>
      <c r="AA88" s="15">
        <v>0</v>
      </c>
      <c r="AB88" s="14" t="s">
        <v>284</v>
      </c>
      <c r="AC88" s="15">
        <v>0</v>
      </c>
      <c r="AD88" s="14" t="s">
        <v>284</v>
      </c>
      <c r="AE88" s="15">
        <v>0</v>
      </c>
      <c r="AF88" s="14" t="s">
        <v>284</v>
      </c>
      <c r="AG88" s="15">
        <v>0</v>
      </c>
    </row>
    <row r="89" spans="1:33" x14ac:dyDescent="0.2">
      <c r="A89" s="2" t="s">
        <v>3</v>
      </c>
      <c r="B89" s="3" t="s">
        <v>2</v>
      </c>
      <c r="C89" s="2" t="s">
        <v>27</v>
      </c>
      <c r="D89" s="6" t="s">
        <v>207</v>
      </c>
      <c r="E89" s="12" t="s">
        <v>0</v>
      </c>
      <c r="F89" s="14" t="s">
        <v>284</v>
      </c>
      <c r="G89" s="15">
        <v>0</v>
      </c>
      <c r="H89" s="14" t="s">
        <v>284</v>
      </c>
      <c r="I89" s="15">
        <v>0</v>
      </c>
      <c r="J89" s="14" t="s">
        <v>284</v>
      </c>
      <c r="K89" s="15">
        <v>0</v>
      </c>
      <c r="L89" s="14" t="s">
        <v>284</v>
      </c>
      <c r="M89" s="15">
        <v>0</v>
      </c>
      <c r="N89" s="14" t="s">
        <v>284</v>
      </c>
      <c r="O89" s="15">
        <v>0</v>
      </c>
      <c r="P89" s="14">
        <v>237.15</v>
      </c>
      <c r="Q89" s="15">
        <v>0</v>
      </c>
      <c r="R89" s="14">
        <v>61.22</v>
      </c>
      <c r="S89" s="15">
        <v>0</v>
      </c>
      <c r="T89" s="14">
        <v>7.77</v>
      </c>
      <c r="U89" s="15">
        <v>0</v>
      </c>
      <c r="V89" s="14">
        <v>393.83</v>
      </c>
      <c r="W89" s="15">
        <v>0</v>
      </c>
      <c r="X89" s="14" t="s">
        <v>284</v>
      </c>
      <c r="Y89" s="15">
        <v>0</v>
      </c>
      <c r="Z89" s="14" t="s">
        <v>284</v>
      </c>
      <c r="AA89" s="15">
        <v>0</v>
      </c>
      <c r="AB89" s="14" t="s">
        <v>284</v>
      </c>
      <c r="AC89" s="15">
        <v>0</v>
      </c>
      <c r="AD89" s="14" t="s">
        <v>284</v>
      </c>
      <c r="AE89" s="15">
        <v>0</v>
      </c>
      <c r="AF89" s="14" t="s">
        <v>284</v>
      </c>
      <c r="AG89" s="15">
        <v>0</v>
      </c>
    </row>
    <row r="90" spans="1:33" x14ac:dyDescent="0.2">
      <c r="A90" s="2" t="s">
        <v>3</v>
      </c>
      <c r="B90" s="3" t="s">
        <v>2</v>
      </c>
      <c r="C90" s="2" t="s">
        <v>26</v>
      </c>
      <c r="D90" s="6" t="s">
        <v>208</v>
      </c>
      <c r="E90" s="12" t="s">
        <v>0</v>
      </c>
      <c r="F90" s="14" t="s">
        <v>284</v>
      </c>
      <c r="G90" s="15">
        <v>0</v>
      </c>
      <c r="H90" s="14" t="s">
        <v>284</v>
      </c>
      <c r="I90" s="15">
        <v>0</v>
      </c>
      <c r="J90" s="14" t="s">
        <v>284</v>
      </c>
      <c r="K90" s="15">
        <v>0</v>
      </c>
      <c r="L90" s="14" t="s">
        <v>284</v>
      </c>
      <c r="M90" s="15">
        <v>0</v>
      </c>
      <c r="N90" s="14" t="s">
        <v>284</v>
      </c>
      <c r="O90" s="15">
        <v>0</v>
      </c>
      <c r="P90" s="14">
        <v>48.97</v>
      </c>
      <c r="Q90" s="15">
        <v>0</v>
      </c>
      <c r="R90" s="14">
        <v>8.5399999999999991</v>
      </c>
      <c r="S90" s="15">
        <v>0</v>
      </c>
      <c r="T90" s="14" t="s">
        <v>284</v>
      </c>
      <c r="U90" s="15">
        <v>0</v>
      </c>
      <c r="V90" s="14">
        <v>555.82000000000005</v>
      </c>
      <c r="W90" s="15">
        <v>0</v>
      </c>
      <c r="X90" s="14" t="s">
        <v>284</v>
      </c>
      <c r="Y90" s="15">
        <v>0</v>
      </c>
      <c r="Z90" s="14" t="s">
        <v>284</v>
      </c>
      <c r="AA90" s="15">
        <v>0</v>
      </c>
      <c r="AB90" s="14" t="s">
        <v>284</v>
      </c>
      <c r="AC90" s="15">
        <v>0</v>
      </c>
      <c r="AD90" s="14" t="s">
        <v>284</v>
      </c>
      <c r="AE90" s="15">
        <v>0</v>
      </c>
      <c r="AF90" s="14" t="s">
        <v>284</v>
      </c>
      <c r="AG90" s="15">
        <v>0</v>
      </c>
    </row>
    <row r="91" spans="1:33" x14ac:dyDescent="0.2">
      <c r="A91" s="2" t="s">
        <v>3</v>
      </c>
      <c r="B91" s="3" t="s">
        <v>2</v>
      </c>
      <c r="C91" s="2" t="s">
        <v>25</v>
      </c>
      <c r="D91" s="6" t="s">
        <v>209</v>
      </c>
      <c r="E91" s="12" t="s">
        <v>0</v>
      </c>
      <c r="F91" s="14" t="s">
        <v>284</v>
      </c>
      <c r="G91" s="15">
        <v>0</v>
      </c>
      <c r="H91" s="14" t="s">
        <v>284</v>
      </c>
      <c r="I91" s="15">
        <v>0</v>
      </c>
      <c r="J91" s="14" t="s">
        <v>284</v>
      </c>
      <c r="K91" s="15">
        <v>0</v>
      </c>
      <c r="L91" s="14" t="s">
        <v>284</v>
      </c>
      <c r="M91" s="15">
        <v>0</v>
      </c>
      <c r="N91" s="14" t="s">
        <v>284</v>
      </c>
      <c r="O91" s="15">
        <v>0</v>
      </c>
      <c r="P91" s="14">
        <v>46.16</v>
      </c>
      <c r="Q91" s="15">
        <v>0</v>
      </c>
      <c r="R91" s="14">
        <v>10.67</v>
      </c>
      <c r="S91" s="15">
        <v>0</v>
      </c>
      <c r="T91" s="14">
        <v>5.44</v>
      </c>
      <c r="U91" s="15">
        <v>0</v>
      </c>
      <c r="V91" s="14">
        <v>550.17999999999995</v>
      </c>
      <c r="W91" s="15">
        <v>0</v>
      </c>
      <c r="X91" s="14" t="s">
        <v>284</v>
      </c>
      <c r="Y91" s="15">
        <v>0</v>
      </c>
      <c r="Z91" s="14" t="s">
        <v>284</v>
      </c>
      <c r="AA91" s="15">
        <v>0</v>
      </c>
      <c r="AB91" s="14" t="s">
        <v>284</v>
      </c>
      <c r="AC91" s="15">
        <v>0</v>
      </c>
      <c r="AD91" s="14" t="s">
        <v>284</v>
      </c>
      <c r="AE91" s="15">
        <v>0</v>
      </c>
      <c r="AF91" s="14" t="s">
        <v>284</v>
      </c>
      <c r="AG91" s="15">
        <v>0</v>
      </c>
    </row>
    <row r="92" spans="1:33" x14ac:dyDescent="0.2">
      <c r="A92" s="2" t="s">
        <v>3</v>
      </c>
      <c r="B92" s="3" t="s">
        <v>2</v>
      </c>
      <c r="C92" s="2" t="s">
        <v>24</v>
      </c>
      <c r="D92" s="6" t="s">
        <v>210</v>
      </c>
      <c r="E92" s="12" t="s">
        <v>0</v>
      </c>
      <c r="F92" s="14" t="s">
        <v>284</v>
      </c>
      <c r="G92" s="15">
        <v>0</v>
      </c>
      <c r="H92" s="14" t="s">
        <v>284</v>
      </c>
      <c r="I92" s="15">
        <v>0</v>
      </c>
      <c r="J92" s="14" t="s">
        <v>284</v>
      </c>
      <c r="K92" s="15">
        <v>0</v>
      </c>
      <c r="L92" s="14" t="s">
        <v>284</v>
      </c>
      <c r="M92" s="15">
        <v>0</v>
      </c>
      <c r="N92" s="14" t="s">
        <v>284</v>
      </c>
      <c r="O92" s="15">
        <v>0</v>
      </c>
      <c r="P92" s="14">
        <v>141.44999999999999</v>
      </c>
      <c r="Q92" s="15">
        <v>0</v>
      </c>
      <c r="R92" s="14">
        <v>4.04</v>
      </c>
      <c r="S92" s="15">
        <v>0</v>
      </c>
      <c r="T92" s="14">
        <v>2.15</v>
      </c>
      <c r="U92" s="15">
        <v>0</v>
      </c>
      <c r="V92" s="14">
        <v>246.56</v>
      </c>
      <c r="W92" s="15">
        <v>0</v>
      </c>
      <c r="X92" s="14" t="s">
        <v>284</v>
      </c>
      <c r="Y92" s="15">
        <v>0</v>
      </c>
      <c r="Z92" s="14" t="s">
        <v>284</v>
      </c>
      <c r="AA92" s="15">
        <v>0</v>
      </c>
      <c r="AB92" s="14" t="s">
        <v>284</v>
      </c>
      <c r="AC92" s="15">
        <v>0</v>
      </c>
      <c r="AD92" s="14" t="s">
        <v>284</v>
      </c>
      <c r="AE92" s="15">
        <v>0</v>
      </c>
      <c r="AF92" s="14" t="s">
        <v>284</v>
      </c>
      <c r="AG92" s="15">
        <v>0</v>
      </c>
    </row>
    <row r="93" spans="1:33" x14ac:dyDescent="0.2">
      <c r="A93" s="2" t="s">
        <v>3</v>
      </c>
      <c r="B93" s="3" t="s">
        <v>2</v>
      </c>
      <c r="C93" s="2" t="s">
        <v>23</v>
      </c>
      <c r="D93" s="6" t="s">
        <v>211</v>
      </c>
      <c r="E93" s="12" t="s">
        <v>0</v>
      </c>
      <c r="F93" s="14" t="s">
        <v>284</v>
      </c>
      <c r="G93" s="15">
        <v>0</v>
      </c>
      <c r="H93" s="14" t="s">
        <v>284</v>
      </c>
      <c r="I93" s="15">
        <v>0</v>
      </c>
      <c r="J93" s="14" t="s">
        <v>284</v>
      </c>
      <c r="K93" s="15">
        <v>0</v>
      </c>
      <c r="L93" s="14" t="s">
        <v>284</v>
      </c>
      <c r="M93" s="15">
        <v>0</v>
      </c>
      <c r="N93" s="14" t="s">
        <v>284</v>
      </c>
      <c r="O93" s="15">
        <v>0</v>
      </c>
      <c r="P93" s="14">
        <v>24.86</v>
      </c>
      <c r="Q93" s="15">
        <v>0</v>
      </c>
      <c r="R93" s="14">
        <v>2.5299999999999998</v>
      </c>
      <c r="S93" s="15">
        <v>0</v>
      </c>
      <c r="T93" s="14" t="s">
        <v>284</v>
      </c>
      <c r="U93" s="15">
        <v>0</v>
      </c>
      <c r="V93" s="14">
        <v>448.08</v>
      </c>
      <c r="W93" s="15">
        <v>0</v>
      </c>
      <c r="X93" s="14" t="s">
        <v>284</v>
      </c>
      <c r="Y93" s="15">
        <v>0</v>
      </c>
      <c r="Z93" s="14" t="s">
        <v>284</v>
      </c>
      <c r="AA93" s="15">
        <v>0</v>
      </c>
      <c r="AB93" s="14" t="s">
        <v>284</v>
      </c>
      <c r="AC93" s="15">
        <v>0</v>
      </c>
      <c r="AD93" s="14" t="s">
        <v>284</v>
      </c>
      <c r="AE93" s="15">
        <v>0</v>
      </c>
      <c r="AF93" s="14" t="s">
        <v>284</v>
      </c>
      <c r="AG93" s="15">
        <v>0</v>
      </c>
    </row>
    <row r="94" spans="1:33" x14ac:dyDescent="0.2">
      <c r="A94" s="2" t="s">
        <v>3</v>
      </c>
      <c r="B94" s="3" t="s">
        <v>2</v>
      </c>
      <c r="C94" s="2" t="s">
        <v>22</v>
      </c>
      <c r="D94" s="6" t="s">
        <v>212</v>
      </c>
      <c r="E94" s="12" t="s">
        <v>0</v>
      </c>
      <c r="F94" s="14" t="s">
        <v>284</v>
      </c>
      <c r="G94" s="15">
        <v>0</v>
      </c>
      <c r="H94" s="14" t="s">
        <v>284</v>
      </c>
      <c r="I94" s="15">
        <v>0</v>
      </c>
      <c r="J94" s="14" t="s">
        <v>284</v>
      </c>
      <c r="K94" s="15">
        <v>0</v>
      </c>
      <c r="L94" s="14" t="s">
        <v>284</v>
      </c>
      <c r="M94" s="15">
        <v>0</v>
      </c>
      <c r="N94" s="14" t="s">
        <v>284</v>
      </c>
      <c r="O94" s="15">
        <v>0</v>
      </c>
      <c r="P94" s="14" t="s">
        <v>579</v>
      </c>
      <c r="Q94" s="15">
        <v>0</v>
      </c>
      <c r="R94" s="14">
        <v>4.8499999999999996</v>
      </c>
      <c r="S94" s="15">
        <v>0</v>
      </c>
      <c r="T94" s="14" t="s">
        <v>284</v>
      </c>
      <c r="U94" s="15">
        <v>0</v>
      </c>
      <c r="V94" s="14">
        <v>380.71</v>
      </c>
      <c r="W94" s="15">
        <v>0</v>
      </c>
      <c r="X94" s="14" t="s">
        <v>284</v>
      </c>
      <c r="Y94" s="15">
        <v>0</v>
      </c>
      <c r="Z94" s="14" t="s">
        <v>284</v>
      </c>
      <c r="AA94" s="15">
        <v>0</v>
      </c>
      <c r="AB94" s="14" t="s">
        <v>284</v>
      </c>
      <c r="AC94" s="15">
        <v>0</v>
      </c>
      <c r="AD94" s="14" t="s">
        <v>284</v>
      </c>
      <c r="AE94" s="15">
        <v>0</v>
      </c>
      <c r="AF94" s="14" t="s">
        <v>284</v>
      </c>
      <c r="AG94" s="15">
        <v>0</v>
      </c>
    </row>
    <row r="95" spans="1:33" x14ac:dyDescent="0.2">
      <c r="A95" s="2" t="s">
        <v>3</v>
      </c>
      <c r="B95" s="3" t="s">
        <v>2</v>
      </c>
      <c r="C95" s="2" t="s">
        <v>21</v>
      </c>
      <c r="D95" s="6" t="s">
        <v>213</v>
      </c>
      <c r="E95" s="12" t="s">
        <v>0</v>
      </c>
      <c r="F95" s="14" t="s">
        <v>284</v>
      </c>
      <c r="G95" s="15">
        <v>0</v>
      </c>
      <c r="H95" s="14" t="s">
        <v>284</v>
      </c>
      <c r="I95" s="15">
        <v>0</v>
      </c>
      <c r="J95" s="14" t="s">
        <v>284</v>
      </c>
      <c r="K95" s="15">
        <v>0</v>
      </c>
      <c r="L95" s="14" t="s">
        <v>284</v>
      </c>
      <c r="M95" s="15">
        <v>0</v>
      </c>
      <c r="N95" s="14" t="s">
        <v>284</v>
      </c>
      <c r="O95" s="15">
        <v>0</v>
      </c>
      <c r="P95" s="14" t="s">
        <v>284</v>
      </c>
      <c r="Q95" s="15">
        <v>0</v>
      </c>
      <c r="R95" s="14">
        <v>4.51</v>
      </c>
      <c r="S95" s="15">
        <v>0</v>
      </c>
      <c r="T95" s="14" t="s">
        <v>284</v>
      </c>
      <c r="U95" s="15">
        <v>0</v>
      </c>
      <c r="V95" s="14">
        <v>308.33</v>
      </c>
      <c r="W95" s="15">
        <v>0</v>
      </c>
      <c r="X95" s="14" t="s">
        <v>284</v>
      </c>
      <c r="Y95" s="15">
        <v>0</v>
      </c>
      <c r="Z95" s="14" t="s">
        <v>284</v>
      </c>
      <c r="AA95" s="15">
        <v>0</v>
      </c>
      <c r="AB95" s="14" t="s">
        <v>284</v>
      </c>
      <c r="AC95" s="15">
        <v>0</v>
      </c>
      <c r="AD95" s="14" t="s">
        <v>284</v>
      </c>
      <c r="AE95" s="15">
        <v>0</v>
      </c>
      <c r="AF95" s="14" t="s">
        <v>284</v>
      </c>
      <c r="AG95" s="15">
        <v>0</v>
      </c>
    </row>
    <row r="96" spans="1:33" x14ac:dyDescent="0.2">
      <c r="A96" s="2" t="s">
        <v>3</v>
      </c>
      <c r="B96" s="3" t="s">
        <v>2</v>
      </c>
      <c r="C96" s="2" t="s">
        <v>20</v>
      </c>
      <c r="D96" s="6" t="s">
        <v>214</v>
      </c>
      <c r="E96" s="12" t="s">
        <v>0</v>
      </c>
      <c r="F96" s="14" t="s">
        <v>284</v>
      </c>
      <c r="G96" s="15">
        <v>0</v>
      </c>
      <c r="H96" s="14" t="s">
        <v>284</v>
      </c>
      <c r="I96" s="15">
        <v>0</v>
      </c>
      <c r="J96" s="14" t="s">
        <v>284</v>
      </c>
      <c r="K96" s="15">
        <v>0</v>
      </c>
      <c r="L96" s="14" t="s">
        <v>284</v>
      </c>
      <c r="M96" s="15">
        <v>0</v>
      </c>
      <c r="N96" s="14" t="s">
        <v>284</v>
      </c>
      <c r="O96" s="15">
        <v>0</v>
      </c>
      <c r="P96" s="14">
        <v>249.95</v>
      </c>
      <c r="Q96" s="15">
        <v>0</v>
      </c>
      <c r="R96" s="14">
        <v>28.66</v>
      </c>
      <c r="S96" s="15">
        <v>0</v>
      </c>
      <c r="T96" s="14">
        <v>4.08</v>
      </c>
      <c r="U96" s="15">
        <v>0</v>
      </c>
      <c r="V96" s="14">
        <v>384.46</v>
      </c>
      <c r="W96" s="15">
        <v>0</v>
      </c>
      <c r="X96" s="14" t="s">
        <v>284</v>
      </c>
      <c r="Y96" s="15">
        <v>0</v>
      </c>
      <c r="Z96" s="14" t="s">
        <v>284</v>
      </c>
      <c r="AA96" s="15">
        <v>0</v>
      </c>
      <c r="AB96" s="14" t="s">
        <v>284</v>
      </c>
      <c r="AC96" s="15">
        <v>0</v>
      </c>
      <c r="AD96" s="14" t="s">
        <v>284</v>
      </c>
      <c r="AE96" s="15">
        <v>0</v>
      </c>
      <c r="AF96" s="14" t="s">
        <v>284</v>
      </c>
      <c r="AG96" s="15">
        <v>0</v>
      </c>
    </row>
    <row r="97" spans="1:33" x14ac:dyDescent="0.2">
      <c r="A97" s="2" t="s">
        <v>3</v>
      </c>
      <c r="B97" s="3" t="s">
        <v>2</v>
      </c>
      <c r="C97" s="2" t="s">
        <v>19</v>
      </c>
      <c r="D97" s="6" t="s">
        <v>215</v>
      </c>
      <c r="E97" s="12" t="s">
        <v>0</v>
      </c>
      <c r="F97" s="14" t="s">
        <v>284</v>
      </c>
      <c r="G97" s="15">
        <v>0</v>
      </c>
      <c r="H97" s="14" t="s">
        <v>284</v>
      </c>
      <c r="I97" s="15">
        <v>0</v>
      </c>
      <c r="J97" s="14" t="s">
        <v>284</v>
      </c>
      <c r="K97" s="15">
        <v>0</v>
      </c>
      <c r="L97" s="14" t="s">
        <v>284</v>
      </c>
      <c r="M97" s="15">
        <v>0</v>
      </c>
      <c r="N97" s="14">
        <v>17.149999999999999</v>
      </c>
      <c r="O97" s="15">
        <v>0</v>
      </c>
      <c r="P97" s="14">
        <v>1110.18</v>
      </c>
      <c r="Q97" s="15">
        <v>0</v>
      </c>
      <c r="R97" s="14">
        <v>75.38</v>
      </c>
      <c r="S97" s="15">
        <v>0</v>
      </c>
      <c r="T97" s="14" t="s">
        <v>284</v>
      </c>
      <c r="U97" s="15">
        <v>0</v>
      </c>
      <c r="V97" s="14">
        <v>1028.01</v>
      </c>
      <c r="W97" s="15">
        <v>0</v>
      </c>
      <c r="X97" s="14" t="s">
        <v>284</v>
      </c>
      <c r="Y97" s="15">
        <v>0</v>
      </c>
      <c r="Z97" s="14" t="s">
        <v>284</v>
      </c>
      <c r="AA97" s="15">
        <v>0</v>
      </c>
      <c r="AB97" s="14" t="s">
        <v>284</v>
      </c>
      <c r="AC97" s="15">
        <v>0</v>
      </c>
      <c r="AD97" s="14" t="s">
        <v>284</v>
      </c>
      <c r="AE97" s="15">
        <v>0</v>
      </c>
      <c r="AF97" s="14" t="s">
        <v>284</v>
      </c>
      <c r="AG97" s="15">
        <v>0</v>
      </c>
    </row>
    <row r="98" spans="1:33" x14ac:dyDescent="0.2">
      <c r="A98" s="2" t="s">
        <v>3</v>
      </c>
      <c r="B98" s="3" t="s">
        <v>2</v>
      </c>
      <c r="C98" s="2" t="s">
        <v>18</v>
      </c>
      <c r="D98" s="6" t="s">
        <v>216</v>
      </c>
      <c r="E98" s="12" t="s">
        <v>0</v>
      </c>
      <c r="F98" s="14" t="s">
        <v>284</v>
      </c>
      <c r="G98" s="15">
        <v>0</v>
      </c>
      <c r="H98" s="14" t="s">
        <v>284</v>
      </c>
      <c r="I98" s="15">
        <v>0</v>
      </c>
      <c r="J98" s="14" t="s">
        <v>284</v>
      </c>
      <c r="K98" s="15">
        <v>0</v>
      </c>
      <c r="L98" s="14" t="s">
        <v>284</v>
      </c>
      <c r="M98" s="15">
        <v>0</v>
      </c>
      <c r="N98" s="14" t="s">
        <v>284</v>
      </c>
      <c r="O98" s="15">
        <v>0</v>
      </c>
      <c r="P98" s="14">
        <v>24.86</v>
      </c>
      <c r="Q98" s="15">
        <v>0</v>
      </c>
      <c r="R98" s="14">
        <v>12.54</v>
      </c>
      <c r="S98" s="15">
        <v>0</v>
      </c>
      <c r="T98" s="14" t="s">
        <v>284</v>
      </c>
      <c r="U98" s="15">
        <v>0</v>
      </c>
      <c r="V98" s="14">
        <v>649.27</v>
      </c>
      <c r="W98" s="15">
        <v>0</v>
      </c>
      <c r="X98" s="14" t="s">
        <v>284</v>
      </c>
      <c r="Y98" s="15">
        <v>0</v>
      </c>
      <c r="Z98" s="14" t="s">
        <v>284</v>
      </c>
      <c r="AA98" s="15">
        <v>0</v>
      </c>
      <c r="AB98" s="14" t="s">
        <v>284</v>
      </c>
      <c r="AC98" s="15">
        <v>0</v>
      </c>
      <c r="AD98" s="14" t="s">
        <v>284</v>
      </c>
      <c r="AE98" s="15">
        <v>0</v>
      </c>
      <c r="AF98" s="14" t="s">
        <v>284</v>
      </c>
      <c r="AG98" s="15">
        <v>0</v>
      </c>
    </row>
    <row r="99" spans="1:33" x14ac:dyDescent="0.2">
      <c r="A99" s="2" t="s">
        <v>3</v>
      </c>
      <c r="B99" s="3" t="s">
        <v>2</v>
      </c>
      <c r="C99" s="2" t="s">
        <v>17</v>
      </c>
      <c r="D99" s="6" t="s">
        <v>217</v>
      </c>
      <c r="E99" s="12" t="s">
        <v>0</v>
      </c>
      <c r="F99" s="14" t="s">
        <v>284</v>
      </c>
      <c r="G99" s="15">
        <v>0</v>
      </c>
      <c r="H99" s="14" t="s">
        <v>284</v>
      </c>
      <c r="I99" s="15">
        <v>0</v>
      </c>
      <c r="J99" s="14" t="s">
        <v>284</v>
      </c>
      <c r="K99" s="15">
        <v>0</v>
      </c>
      <c r="L99" s="14" t="s">
        <v>284</v>
      </c>
      <c r="M99" s="15">
        <v>0</v>
      </c>
      <c r="N99" s="14" t="s">
        <v>284</v>
      </c>
      <c r="O99" s="15">
        <v>0</v>
      </c>
      <c r="P99" s="14">
        <v>393.21</v>
      </c>
      <c r="Q99" s="15">
        <v>0</v>
      </c>
      <c r="R99" s="14">
        <v>19.64</v>
      </c>
      <c r="S99" s="15">
        <v>0</v>
      </c>
      <c r="T99" s="14">
        <v>1.84</v>
      </c>
      <c r="U99" s="15">
        <v>0</v>
      </c>
      <c r="V99" s="14">
        <v>709.28</v>
      </c>
      <c r="W99" s="15">
        <v>0</v>
      </c>
      <c r="X99" s="14" t="s">
        <v>284</v>
      </c>
      <c r="Y99" s="15">
        <v>0</v>
      </c>
      <c r="Z99" s="14" t="s">
        <v>284</v>
      </c>
      <c r="AA99" s="15">
        <v>0</v>
      </c>
      <c r="AB99" s="14" t="s">
        <v>284</v>
      </c>
      <c r="AC99" s="15">
        <v>0</v>
      </c>
      <c r="AD99" s="14" t="s">
        <v>284</v>
      </c>
      <c r="AE99" s="15">
        <v>0</v>
      </c>
      <c r="AF99" s="14" t="s">
        <v>284</v>
      </c>
      <c r="AG99" s="15">
        <v>0</v>
      </c>
    </row>
    <row r="100" spans="1:33" x14ac:dyDescent="0.2">
      <c r="A100" s="2" t="s">
        <v>3</v>
      </c>
      <c r="B100" s="3" t="s">
        <v>2</v>
      </c>
      <c r="C100" s="2" t="s">
        <v>16</v>
      </c>
      <c r="D100" s="6" t="s">
        <v>218</v>
      </c>
      <c r="E100" s="12" t="s">
        <v>0</v>
      </c>
      <c r="F100" s="14" t="s">
        <v>284</v>
      </c>
      <c r="G100" s="15">
        <v>0</v>
      </c>
      <c r="H100" s="14" t="s">
        <v>284</v>
      </c>
      <c r="I100" s="15">
        <v>0</v>
      </c>
      <c r="J100" s="14" t="s">
        <v>284</v>
      </c>
      <c r="K100" s="15">
        <v>0</v>
      </c>
      <c r="L100" s="14" t="s">
        <v>284</v>
      </c>
      <c r="M100" s="15">
        <v>0</v>
      </c>
      <c r="N100" s="14" t="s">
        <v>284</v>
      </c>
      <c r="O100" s="15">
        <v>0</v>
      </c>
      <c r="P100" s="14">
        <v>39.020000000000003</v>
      </c>
      <c r="Q100" s="15">
        <v>0</v>
      </c>
      <c r="R100" s="14">
        <v>6.28</v>
      </c>
      <c r="S100" s="15">
        <v>0</v>
      </c>
      <c r="T100" s="14" t="s">
        <v>284</v>
      </c>
      <c r="U100" s="15">
        <v>0</v>
      </c>
      <c r="V100" s="14">
        <v>585.92999999999995</v>
      </c>
      <c r="W100" s="15">
        <v>0</v>
      </c>
      <c r="X100" s="14" t="s">
        <v>284</v>
      </c>
      <c r="Y100" s="15">
        <v>0</v>
      </c>
      <c r="Z100" s="14" t="s">
        <v>284</v>
      </c>
      <c r="AA100" s="15">
        <v>0</v>
      </c>
      <c r="AB100" s="14" t="s">
        <v>284</v>
      </c>
      <c r="AC100" s="15">
        <v>0</v>
      </c>
      <c r="AD100" s="14" t="s">
        <v>284</v>
      </c>
      <c r="AE100" s="15">
        <v>0</v>
      </c>
      <c r="AF100" s="14" t="s">
        <v>284</v>
      </c>
      <c r="AG100" s="15">
        <v>0</v>
      </c>
    </row>
    <row r="101" spans="1:33" x14ac:dyDescent="0.2">
      <c r="A101" s="2" t="s">
        <v>3</v>
      </c>
      <c r="B101" s="3" t="s">
        <v>2</v>
      </c>
      <c r="C101" s="2" t="s">
        <v>15</v>
      </c>
      <c r="D101" s="6" t="s">
        <v>219</v>
      </c>
      <c r="E101" s="12" t="s">
        <v>0</v>
      </c>
      <c r="F101" s="14" t="s">
        <v>284</v>
      </c>
      <c r="G101" s="15">
        <v>0</v>
      </c>
      <c r="H101" s="14" t="s">
        <v>284</v>
      </c>
      <c r="I101" s="15">
        <v>0</v>
      </c>
      <c r="J101" s="14" t="s">
        <v>284</v>
      </c>
      <c r="K101" s="15">
        <v>0</v>
      </c>
      <c r="L101" s="14" t="s">
        <v>284</v>
      </c>
      <c r="M101" s="15">
        <v>0</v>
      </c>
      <c r="N101" s="14" t="s">
        <v>284</v>
      </c>
      <c r="O101" s="15">
        <v>0</v>
      </c>
      <c r="P101" s="14">
        <v>8.3699999999999992</v>
      </c>
      <c r="Q101" s="15">
        <v>0</v>
      </c>
      <c r="R101" s="14">
        <v>14.37</v>
      </c>
      <c r="S101" s="15">
        <v>0</v>
      </c>
      <c r="T101" s="14" t="s">
        <v>580</v>
      </c>
      <c r="U101" s="15">
        <v>0</v>
      </c>
      <c r="V101" s="14">
        <v>1405.9</v>
      </c>
      <c r="W101" s="15">
        <v>0</v>
      </c>
      <c r="X101" s="14" t="s">
        <v>284</v>
      </c>
      <c r="Y101" s="15">
        <v>0</v>
      </c>
      <c r="Z101" s="14" t="s">
        <v>284</v>
      </c>
      <c r="AA101" s="15">
        <v>0</v>
      </c>
      <c r="AB101" s="14" t="s">
        <v>284</v>
      </c>
      <c r="AC101" s="15">
        <v>0</v>
      </c>
      <c r="AD101" s="14" t="s">
        <v>284</v>
      </c>
      <c r="AE101" s="15">
        <v>0</v>
      </c>
      <c r="AF101" s="14" t="s">
        <v>284</v>
      </c>
      <c r="AG101" s="15">
        <v>0</v>
      </c>
    </row>
    <row r="102" spans="1:33" x14ac:dyDescent="0.2">
      <c r="A102" s="2" t="s">
        <v>3</v>
      </c>
      <c r="B102" s="3" t="s">
        <v>2</v>
      </c>
      <c r="C102" s="2" t="s">
        <v>14</v>
      </c>
      <c r="D102" s="6" t="s">
        <v>220</v>
      </c>
      <c r="E102" s="12" t="s">
        <v>0</v>
      </c>
      <c r="F102" s="14" t="s">
        <v>284</v>
      </c>
      <c r="G102" s="15">
        <v>0</v>
      </c>
      <c r="H102" s="14" t="s">
        <v>284</v>
      </c>
      <c r="I102" s="15">
        <v>0</v>
      </c>
      <c r="J102" s="14" t="s">
        <v>284</v>
      </c>
      <c r="K102" s="15">
        <v>0</v>
      </c>
      <c r="L102" s="14" t="s">
        <v>284</v>
      </c>
      <c r="M102" s="15">
        <v>0</v>
      </c>
      <c r="N102" s="14" t="s">
        <v>284</v>
      </c>
      <c r="O102" s="15">
        <v>0</v>
      </c>
      <c r="P102" s="14">
        <v>27.16</v>
      </c>
      <c r="Q102" s="15">
        <v>0</v>
      </c>
      <c r="R102" s="14" t="s">
        <v>284</v>
      </c>
      <c r="S102" s="15">
        <v>0</v>
      </c>
      <c r="T102" s="14" t="s">
        <v>284</v>
      </c>
      <c r="U102" s="15">
        <v>0</v>
      </c>
      <c r="V102" s="14">
        <v>782.4</v>
      </c>
      <c r="W102" s="15">
        <v>0</v>
      </c>
      <c r="X102" s="14" t="s">
        <v>284</v>
      </c>
      <c r="Y102" s="15">
        <v>0</v>
      </c>
      <c r="Z102" s="14" t="s">
        <v>284</v>
      </c>
      <c r="AA102" s="15">
        <v>0</v>
      </c>
      <c r="AB102" s="14" t="s">
        <v>284</v>
      </c>
      <c r="AC102" s="15">
        <v>0</v>
      </c>
      <c r="AD102" s="14" t="s">
        <v>284</v>
      </c>
      <c r="AE102" s="15">
        <v>0</v>
      </c>
      <c r="AF102" s="14" t="s">
        <v>284</v>
      </c>
      <c r="AG102" s="15">
        <v>0</v>
      </c>
    </row>
    <row r="103" spans="1:33" x14ac:dyDescent="0.2">
      <c r="A103" s="2" t="s">
        <v>3</v>
      </c>
      <c r="B103" s="3" t="s">
        <v>2</v>
      </c>
      <c r="C103" s="2" t="s">
        <v>13</v>
      </c>
      <c r="D103" s="6" t="s">
        <v>221</v>
      </c>
      <c r="E103" s="12" t="s">
        <v>0</v>
      </c>
      <c r="F103" s="14" t="s">
        <v>284</v>
      </c>
      <c r="G103" s="15">
        <v>0</v>
      </c>
      <c r="H103" s="14" t="s">
        <v>284</v>
      </c>
      <c r="I103" s="15">
        <v>0</v>
      </c>
      <c r="J103" s="14" t="s">
        <v>284</v>
      </c>
      <c r="K103" s="15">
        <v>0</v>
      </c>
      <c r="L103" s="14" t="s">
        <v>284</v>
      </c>
      <c r="M103" s="15">
        <v>0</v>
      </c>
      <c r="N103" s="14" t="s">
        <v>284</v>
      </c>
      <c r="O103" s="15">
        <v>0</v>
      </c>
      <c r="P103" s="14">
        <v>51.06</v>
      </c>
      <c r="Q103" s="15">
        <v>0</v>
      </c>
      <c r="R103" s="14">
        <v>55.41</v>
      </c>
      <c r="S103" s="15">
        <v>0</v>
      </c>
      <c r="T103" s="14" t="s">
        <v>284</v>
      </c>
      <c r="U103" s="15">
        <v>0</v>
      </c>
      <c r="V103" s="14">
        <v>625.58000000000004</v>
      </c>
      <c r="W103" s="15">
        <v>0</v>
      </c>
      <c r="X103" s="14" t="s">
        <v>284</v>
      </c>
      <c r="Y103" s="15">
        <v>0</v>
      </c>
      <c r="Z103" s="14" t="s">
        <v>284</v>
      </c>
      <c r="AA103" s="15">
        <v>0</v>
      </c>
      <c r="AB103" s="14" t="s">
        <v>284</v>
      </c>
      <c r="AC103" s="15">
        <v>0</v>
      </c>
      <c r="AD103" s="14" t="s">
        <v>284</v>
      </c>
      <c r="AE103" s="15">
        <v>0</v>
      </c>
      <c r="AF103" s="14" t="s">
        <v>284</v>
      </c>
      <c r="AG103" s="15">
        <v>0</v>
      </c>
    </row>
    <row r="104" spans="1:33" x14ac:dyDescent="0.2">
      <c r="A104" s="2" t="s">
        <v>3</v>
      </c>
      <c r="B104" s="3" t="s">
        <v>2</v>
      </c>
      <c r="C104" s="2" t="s">
        <v>12</v>
      </c>
      <c r="D104" s="6" t="s">
        <v>222</v>
      </c>
      <c r="E104" s="12" t="s">
        <v>0</v>
      </c>
      <c r="F104" s="14" t="s">
        <v>284</v>
      </c>
      <c r="G104" s="15">
        <v>0</v>
      </c>
      <c r="H104" s="14" t="s">
        <v>284</v>
      </c>
      <c r="I104" s="15">
        <v>0</v>
      </c>
      <c r="J104" s="14" t="s">
        <v>284</v>
      </c>
      <c r="K104" s="15">
        <v>0</v>
      </c>
      <c r="L104" s="14" t="s">
        <v>284</v>
      </c>
      <c r="M104" s="15">
        <v>0</v>
      </c>
      <c r="N104" s="14" t="s">
        <v>284</v>
      </c>
      <c r="O104" s="15">
        <v>0</v>
      </c>
      <c r="P104" s="14">
        <v>296.05</v>
      </c>
      <c r="Q104" s="15">
        <v>0</v>
      </c>
      <c r="R104" s="14">
        <v>103.24</v>
      </c>
      <c r="S104" s="15">
        <v>0</v>
      </c>
      <c r="T104" s="14">
        <v>35.65</v>
      </c>
      <c r="U104" s="15">
        <v>0</v>
      </c>
      <c r="V104" s="14">
        <v>415.35</v>
      </c>
      <c r="W104" s="15">
        <v>0</v>
      </c>
      <c r="X104" s="14" t="s">
        <v>284</v>
      </c>
      <c r="Y104" s="15">
        <v>0</v>
      </c>
      <c r="Z104" s="14" t="s">
        <v>284</v>
      </c>
      <c r="AA104" s="15">
        <v>0</v>
      </c>
      <c r="AB104" s="14" t="s">
        <v>284</v>
      </c>
      <c r="AC104" s="15">
        <v>0</v>
      </c>
      <c r="AD104" s="14" t="s">
        <v>284</v>
      </c>
      <c r="AE104" s="15">
        <v>0</v>
      </c>
      <c r="AF104" s="14" t="s">
        <v>284</v>
      </c>
      <c r="AG104" s="15">
        <v>0</v>
      </c>
    </row>
    <row r="105" spans="1:33" x14ac:dyDescent="0.2">
      <c r="A105" s="2" t="s">
        <v>3</v>
      </c>
      <c r="B105" s="3" t="s">
        <v>2</v>
      </c>
      <c r="C105" s="2" t="s">
        <v>11</v>
      </c>
      <c r="D105" s="6" t="s">
        <v>223</v>
      </c>
      <c r="E105" s="12" t="s">
        <v>0</v>
      </c>
      <c r="F105" s="14" t="s">
        <v>284</v>
      </c>
      <c r="G105" s="15">
        <v>0</v>
      </c>
      <c r="H105" s="14" t="s">
        <v>284</v>
      </c>
      <c r="I105" s="15">
        <v>0</v>
      </c>
      <c r="J105" s="14" t="s">
        <v>284</v>
      </c>
      <c r="K105" s="15">
        <v>0</v>
      </c>
      <c r="L105" s="14" t="s">
        <v>284</v>
      </c>
      <c r="M105" s="15">
        <v>0</v>
      </c>
      <c r="N105" s="14" t="s">
        <v>284</v>
      </c>
      <c r="O105" s="15">
        <v>0</v>
      </c>
      <c r="P105" s="14">
        <v>53.83</v>
      </c>
      <c r="Q105" s="15">
        <v>0</v>
      </c>
      <c r="R105" s="14">
        <v>4.28</v>
      </c>
      <c r="S105" s="15">
        <v>0</v>
      </c>
      <c r="T105" s="14" t="s">
        <v>284</v>
      </c>
      <c r="U105" s="15">
        <v>0</v>
      </c>
      <c r="V105" s="14">
        <v>341.31</v>
      </c>
      <c r="W105" s="15">
        <v>0</v>
      </c>
      <c r="X105" s="14" t="s">
        <v>284</v>
      </c>
      <c r="Y105" s="15">
        <v>0</v>
      </c>
      <c r="Z105" s="14" t="s">
        <v>284</v>
      </c>
      <c r="AA105" s="15">
        <v>0</v>
      </c>
      <c r="AB105" s="14" t="s">
        <v>284</v>
      </c>
      <c r="AC105" s="15">
        <v>0</v>
      </c>
      <c r="AD105" s="14" t="s">
        <v>284</v>
      </c>
      <c r="AE105" s="15">
        <v>0</v>
      </c>
      <c r="AF105" s="14" t="s">
        <v>284</v>
      </c>
      <c r="AG105" s="15">
        <v>0</v>
      </c>
    </row>
    <row r="106" spans="1:33" x14ac:dyDescent="0.2">
      <c r="A106" s="2" t="s">
        <v>3</v>
      </c>
      <c r="B106" s="3" t="s">
        <v>2</v>
      </c>
      <c r="C106" s="2" t="s">
        <v>10</v>
      </c>
      <c r="D106" s="6" t="s">
        <v>224</v>
      </c>
      <c r="E106" s="12" t="s">
        <v>0</v>
      </c>
      <c r="F106" s="14" t="s">
        <v>284</v>
      </c>
      <c r="G106" s="15">
        <v>0</v>
      </c>
      <c r="H106" s="14" t="s">
        <v>284</v>
      </c>
      <c r="I106" s="15">
        <v>0</v>
      </c>
      <c r="J106" s="14" t="s">
        <v>284</v>
      </c>
      <c r="K106" s="15">
        <v>0</v>
      </c>
      <c r="L106" s="14" t="s">
        <v>284</v>
      </c>
      <c r="M106" s="15">
        <v>0</v>
      </c>
      <c r="N106" s="14" t="s">
        <v>284</v>
      </c>
      <c r="O106" s="15">
        <v>0</v>
      </c>
      <c r="P106" s="14">
        <v>12.76</v>
      </c>
      <c r="Q106" s="15">
        <v>67.83</v>
      </c>
      <c r="R106" s="14" t="s">
        <v>581</v>
      </c>
      <c r="S106" s="15">
        <v>0</v>
      </c>
      <c r="T106" s="14" t="s">
        <v>284</v>
      </c>
      <c r="U106" s="15">
        <v>0</v>
      </c>
      <c r="V106" s="14">
        <v>305.97000000000003</v>
      </c>
      <c r="W106" s="15">
        <v>16.39</v>
      </c>
      <c r="X106" s="14" t="s">
        <v>284</v>
      </c>
      <c r="Y106" s="15">
        <v>0</v>
      </c>
      <c r="Z106" s="14" t="s">
        <v>284</v>
      </c>
      <c r="AA106" s="15">
        <v>0</v>
      </c>
      <c r="AB106" s="14" t="s">
        <v>284</v>
      </c>
      <c r="AC106" s="15">
        <v>0</v>
      </c>
      <c r="AD106" s="14" t="s">
        <v>284</v>
      </c>
      <c r="AE106" s="15">
        <v>0</v>
      </c>
      <c r="AF106" s="14" t="s">
        <v>284</v>
      </c>
      <c r="AG106" s="15">
        <v>0</v>
      </c>
    </row>
    <row r="107" spans="1:33" x14ac:dyDescent="0.2">
      <c r="A107" s="2" t="s">
        <v>3</v>
      </c>
      <c r="B107" s="3" t="s">
        <v>2</v>
      </c>
      <c r="C107" s="2" t="s">
        <v>9</v>
      </c>
      <c r="D107" s="6" t="s">
        <v>225</v>
      </c>
      <c r="E107" s="12" t="s">
        <v>0</v>
      </c>
      <c r="F107" s="14" t="s">
        <v>284</v>
      </c>
      <c r="G107" s="15">
        <v>0</v>
      </c>
      <c r="H107" s="14" t="s">
        <v>284</v>
      </c>
      <c r="I107" s="15">
        <v>0</v>
      </c>
      <c r="J107" s="14" t="s">
        <v>284</v>
      </c>
      <c r="K107" s="15">
        <v>0</v>
      </c>
      <c r="L107" s="14" t="s">
        <v>284</v>
      </c>
      <c r="M107" s="15">
        <v>0</v>
      </c>
      <c r="N107" s="14" t="s">
        <v>284</v>
      </c>
      <c r="O107" s="15">
        <v>0</v>
      </c>
      <c r="P107" s="14">
        <v>377.93</v>
      </c>
      <c r="Q107" s="15">
        <v>1.78</v>
      </c>
      <c r="R107" s="14">
        <v>244.7</v>
      </c>
      <c r="S107" s="15">
        <v>8.51</v>
      </c>
      <c r="T107" s="14">
        <v>27.02</v>
      </c>
      <c r="U107" s="15">
        <v>8.93</v>
      </c>
      <c r="V107" s="14">
        <v>604.32000000000005</v>
      </c>
      <c r="W107" s="15">
        <v>15.57</v>
      </c>
      <c r="X107" s="14" t="s">
        <v>284</v>
      </c>
      <c r="Y107" s="15">
        <v>0</v>
      </c>
      <c r="Z107" s="14" t="s">
        <v>284</v>
      </c>
      <c r="AA107" s="15">
        <v>0</v>
      </c>
      <c r="AB107" s="14" t="s">
        <v>284</v>
      </c>
      <c r="AC107" s="15">
        <v>0</v>
      </c>
      <c r="AD107" s="14" t="s">
        <v>284</v>
      </c>
      <c r="AE107" s="15">
        <v>0</v>
      </c>
      <c r="AF107" s="14" t="s">
        <v>284</v>
      </c>
      <c r="AG107" s="15">
        <v>0</v>
      </c>
    </row>
    <row r="108" spans="1:33" x14ac:dyDescent="0.2">
      <c r="A108" s="2" t="s">
        <v>3</v>
      </c>
      <c r="B108" s="3" t="s">
        <v>2</v>
      </c>
      <c r="C108" s="2" t="s">
        <v>8</v>
      </c>
      <c r="D108" s="6" t="s">
        <v>226</v>
      </c>
      <c r="E108" s="12" t="s">
        <v>0</v>
      </c>
      <c r="F108" s="14" t="s">
        <v>284</v>
      </c>
      <c r="G108" s="15">
        <v>0</v>
      </c>
      <c r="H108" s="14" t="s">
        <v>284</v>
      </c>
      <c r="I108" s="15">
        <v>0</v>
      </c>
      <c r="J108" s="14" t="s">
        <v>284</v>
      </c>
      <c r="K108" s="15">
        <v>0</v>
      </c>
      <c r="L108" s="14" t="s">
        <v>284</v>
      </c>
      <c r="M108" s="15">
        <v>0</v>
      </c>
      <c r="N108" s="14" t="s">
        <v>284</v>
      </c>
      <c r="O108" s="15">
        <v>0</v>
      </c>
      <c r="P108" s="14">
        <v>42.97</v>
      </c>
      <c r="Q108" s="15">
        <v>29.45</v>
      </c>
      <c r="R108" s="14">
        <v>24.07</v>
      </c>
      <c r="S108" s="15">
        <v>9.41</v>
      </c>
      <c r="T108" s="14">
        <v>21.48</v>
      </c>
      <c r="U108" s="15">
        <v>13.24</v>
      </c>
      <c r="V108" s="14">
        <v>644.04999999999995</v>
      </c>
      <c r="W108" s="15">
        <v>14.05</v>
      </c>
      <c r="X108" s="14" t="s">
        <v>284</v>
      </c>
      <c r="Y108" s="15">
        <v>0</v>
      </c>
      <c r="Z108" s="14" t="s">
        <v>284</v>
      </c>
      <c r="AA108" s="15">
        <v>0</v>
      </c>
      <c r="AB108" s="14" t="s">
        <v>284</v>
      </c>
      <c r="AC108" s="15">
        <v>0</v>
      </c>
      <c r="AD108" s="14" t="s">
        <v>284</v>
      </c>
      <c r="AE108" s="15">
        <v>0</v>
      </c>
      <c r="AF108" s="14" t="s">
        <v>284</v>
      </c>
      <c r="AG108" s="15">
        <v>0</v>
      </c>
    </row>
    <row r="109" spans="1:33" x14ac:dyDescent="0.2">
      <c r="A109" s="2" t="s">
        <v>3</v>
      </c>
      <c r="B109" s="3" t="s">
        <v>2</v>
      </c>
      <c r="C109" s="2" t="s">
        <v>7</v>
      </c>
      <c r="D109" s="6" t="s">
        <v>227</v>
      </c>
      <c r="E109" s="12" t="s">
        <v>0</v>
      </c>
      <c r="F109" s="14" t="s">
        <v>284</v>
      </c>
      <c r="G109" s="15">
        <v>0</v>
      </c>
      <c r="H109" s="14" t="s">
        <v>284</v>
      </c>
      <c r="I109" s="15">
        <v>0</v>
      </c>
      <c r="J109" s="14" t="s">
        <v>284</v>
      </c>
      <c r="K109" s="15">
        <v>0</v>
      </c>
      <c r="L109" s="14" t="s">
        <v>284</v>
      </c>
      <c r="M109" s="15">
        <v>0</v>
      </c>
      <c r="N109" s="14" t="s">
        <v>284</v>
      </c>
      <c r="O109" s="15">
        <v>0</v>
      </c>
      <c r="P109" s="14">
        <v>189.85</v>
      </c>
      <c r="Q109" s="15">
        <v>7.07</v>
      </c>
      <c r="R109" s="14">
        <v>13.37</v>
      </c>
      <c r="S109" s="15">
        <v>18.38</v>
      </c>
      <c r="T109" s="14">
        <v>3.88</v>
      </c>
      <c r="U109" s="15">
        <v>31.31</v>
      </c>
      <c r="V109" s="14">
        <v>541.73</v>
      </c>
      <c r="W109" s="15">
        <v>1.72</v>
      </c>
      <c r="X109" s="14" t="s">
        <v>284</v>
      </c>
      <c r="Y109" s="15">
        <v>0</v>
      </c>
      <c r="Z109" s="14" t="s">
        <v>284</v>
      </c>
      <c r="AA109" s="15">
        <v>0</v>
      </c>
      <c r="AB109" s="14" t="s">
        <v>284</v>
      </c>
      <c r="AC109" s="15">
        <v>0</v>
      </c>
      <c r="AD109" s="14" t="s">
        <v>284</v>
      </c>
      <c r="AE109" s="15">
        <v>0</v>
      </c>
      <c r="AF109" s="14" t="s">
        <v>284</v>
      </c>
      <c r="AG109" s="15">
        <v>0</v>
      </c>
    </row>
    <row r="110" spans="1:33" x14ac:dyDescent="0.2">
      <c r="A110" s="2" t="s">
        <v>3</v>
      </c>
      <c r="B110" s="3" t="s">
        <v>2</v>
      </c>
      <c r="C110" s="2" t="s">
        <v>6</v>
      </c>
      <c r="D110" s="6" t="s">
        <v>228</v>
      </c>
      <c r="E110" s="12" t="s">
        <v>0</v>
      </c>
      <c r="F110" s="14" t="s">
        <v>284</v>
      </c>
      <c r="G110" s="15">
        <v>0</v>
      </c>
      <c r="H110" s="14" t="s">
        <v>284</v>
      </c>
      <c r="I110" s="15">
        <v>0</v>
      </c>
      <c r="J110" s="14" t="s">
        <v>284</v>
      </c>
      <c r="K110" s="15">
        <v>0</v>
      </c>
      <c r="L110" s="14" t="s">
        <v>284</v>
      </c>
      <c r="M110" s="15">
        <v>0</v>
      </c>
      <c r="N110" s="14" t="s">
        <v>284</v>
      </c>
      <c r="O110" s="15">
        <v>0</v>
      </c>
      <c r="P110" s="14" t="s">
        <v>582</v>
      </c>
      <c r="Q110" s="15">
        <v>137.51</v>
      </c>
      <c r="R110" s="14" t="s">
        <v>284</v>
      </c>
      <c r="S110" s="15">
        <v>0</v>
      </c>
      <c r="T110" s="14" t="s">
        <v>284</v>
      </c>
      <c r="U110" s="15">
        <v>0</v>
      </c>
      <c r="V110" s="14">
        <v>247.04</v>
      </c>
      <c r="W110" s="15">
        <v>4.66</v>
      </c>
      <c r="X110" s="14" t="s">
        <v>284</v>
      </c>
      <c r="Y110" s="15">
        <v>0</v>
      </c>
      <c r="Z110" s="14" t="s">
        <v>284</v>
      </c>
      <c r="AA110" s="15">
        <v>0</v>
      </c>
      <c r="AB110" s="14" t="s">
        <v>284</v>
      </c>
      <c r="AC110" s="15">
        <v>0</v>
      </c>
      <c r="AD110" s="14" t="s">
        <v>284</v>
      </c>
      <c r="AE110" s="15">
        <v>0</v>
      </c>
      <c r="AF110" s="14" t="s">
        <v>284</v>
      </c>
      <c r="AG110" s="15">
        <v>0</v>
      </c>
    </row>
    <row r="111" spans="1:33" x14ac:dyDescent="0.2">
      <c r="A111" s="2" t="s">
        <v>3</v>
      </c>
      <c r="B111" s="3" t="s">
        <v>2</v>
      </c>
      <c r="C111" s="2" t="s">
        <v>5</v>
      </c>
      <c r="D111" s="6" t="s">
        <v>229</v>
      </c>
      <c r="E111" s="12" t="s">
        <v>0</v>
      </c>
      <c r="F111" s="14" t="s">
        <v>284</v>
      </c>
      <c r="G111" s="15">
        <v>0</v>
      </c>
      <c r="H111" s="14" t="s">
        <v>284</v>
      </c>
      <c r="I111" s="15">
        <v>0</v>
      </c>
      <c r="J111" s="14" t="s">
        <v>284</v>
      </c>
      <c r="K111" s="15">
        <v>0</v>
      </c>
      <c r="L111" s="14" t="s">
        <v>284</v>
      </c>
      <c r="M111" s="15">
        <v>0</v>
      </c>
      <c r="N111" s="14" t="s">
        <v>284</v>
      </c>
      <c r="O111" s="15">
        <v>0</v>
      </c>
      <c r="P111" s="14" t="s">
        <v>284</v>
      </c>
      <c r="Q111" s="15">
        <v>0</v>
      </c>
      <c r="R111" s="14" t="s">
        <v>284</v>
      </c>
      <c r="S111" s="15">
        <v>0</v>
      </c>
      <c r="T111" s="14" t="s">
        <v>284</v>
      </c>
      <c r="U111" s="15">
        <v>0</v>
      </c>
      <c r="V111" s="14">
        <v>776.11</v>
      </c>
      <c r="W111" s="15">
        <v>8.89</v>
      </c>
      <c r="X111" s="14" t="s">
        <v>284</v>
      </c>
      <c r="Y111" s="15">
        <v>0</v>
      </c>
      <c r="Z111" s="14" t="s">
        <v>284</v>
      </c>
      <c r="AA111" s="15">
        <v>0</v>
      </c>
      <c r="AB111" s="14" t="s">
        <v>284</v>
      </c>
      <c r="AC111" s="15">
        <v>0</v>
      </c>
      <c r="AD111" s="14" t="s">
        <v>284</v>
      </c>
      <c r="AE111" s="15">
        <v>0</v>
      </c>
      <c r="AF111" s="14" t="s">
        <v>284</v>
      </c>
      <c r="AG111" s="15">
        <v>0</v>
      </c>
    </row>
    <row r="112" spans="1:33" x14ac:dyDescent="0.2">
      <c r="A112" s="2" t="s">
        <v>3</v>
      </c>
      <c r="B112" s="3" t="s">
        <v>2</v>
      </c>
      <c r="C112" s="2" t="s">
        <v>4</v>
      </c>
      <c r="D112" s="6" t="s">
        <v>230</v>
      </c>
      <c r="E112" s="12" t="s">
        <v>0</v>
      </c>
      <c r="F112" s="14" t="s">
        <v>284</v>
      </c>
      <c r="G112" s="15">
        <v>0</v>
      </c>
      <c r="H112" s="14" t="s">
        <v>284</v>
      </c>
      <c r="I112" s="15">
        <v>0</v>
      </c>
      <c r="J112" s="14" t="s">
        <v>284</v>
      </c>
      <c r="K112" s="15">
        <v>0</v>
      </c>
      <c r="L112" s="14" t="s">
        <v>284</v>
      </c>
      <c r="M112" s="15">
        <v>0</v>
      </c>
      <c r="N112" s="14" t="s">
        <v>284</v>
      </c>
      <c r="O112" s="15">
        <v>0</v>
      </c>
      <c r="P112" s="14" t="s">
        <v>583</v>
      </c>
      <c r="Q112" s="15">
        <v>0</v>
      </c>
      <c r="R112" s="14" t="s">
        <v>284</v>
      </c>
      <c r="S112" s="15">
        <v>0</v>
      </c>
      <c r="T112" s="14">
        <v>10.6</v>
      </c>
      <c r="U112" s="15">
        <v>20.36</v>
      </c>
      <c r="V112" s="14">
        <v>279.93</v>
      </c>
      <c r="W112" s="15">
        <v>17.29</v>
      </c>
      <c r="X112" s="14" t="s">
        <v>284</v>
      </c>
      <c r="Y112" s="15">
        <v>0</v>
      </c>
      <c r="Z112" s="14" t="s">
        <v>284</v>
      </c>
      <c r="AA112" s="15">
        <v>0</v>
      </c>
      <c r="AB112" s="14" t="s">
        <v>284</v>
      </c>
      <c r="AC112" s="15">
        <v>0</v>
      </c>
      <c r="AD112" s="14" t="s">
        <v>284</v>
      </c>
      <c r="AE112" s="15">
        <v>0</v>
      </c>
      <c r="AF112" s="14" t="s">
        <v>284</v>
      </c>
      <c r="AG112" s="15">
        <v>0</v>
      </c>
    </row>
    <row r="113" spans="1:33" x14ac:dyDescent="0.2">
      <c r="A113" s="2" t="s">
        <v>3</v>
      </c>
      <c r="B113" s="3" t="s">
        <v>2</v>
      </c>
      <c r="C113" s="2" t="s">
        <v>1</v>
      </c>
      <c r="D113" s="6" t="s">
        <v>231</v>
      </c>
      <c r="E113" s="12" t="s">
        <v>0</v>
      </c>
      <c r="F113" s="14" t="s">
        <v>284</v>
      </c>
      <c r="G113" s="15">
        <v>0</v>
      </c>
      <c r="H113" s="14" t="s">
        <v>284</v>
      </c>
      <c r="I113" s="15">
        <v>0</v>
      </c>
      <c r="J113" s="14" t="s">
        <v>284</v>
      </c>
      <c r="K113" s="15">
        <v>0</v>
      </c>
      <c r="L113" s="14" t="s">
        <v>284</v>
      </c>
      <c r="M113" s="15">
        <v>0</v>
      </c>
      <c r="N113" s="14" t="s">
        <v>284</v>
      </c>
      <c r="O113" s="15">
        <v>0</v>
      </c>
      <c r="P113" s="14">
        <v>26.4</v>
      </c>
      <c r="Q113" s="15">
        <v>49.88</v>
      </c>
      <c r="R113" s="14" t="s">
        <v>577</v>
      </c>
      <c r="S113" s="15">
        <v>0</v>
      </c>
      <c r="T113" s="14" t="s">
        <v>284</v>
      </c>
      <c r="U113" s="15">
        <v>0</v>
      </c>
      <c r="V113" s="14">
        <v>237.93</v>
      </c>
      <c r="W113" s="15">
        <v>25.17</v>
      </c>
      <c r="X113" s="14" t="s">
        <v>284</v>
      </c>
      <c r="Y113" s="15">
        <v>0</v>
      </c>
      <c r="Z113" s="14" t="s">
        <v>284</v>
      </c>
      <c r="AA113" s="15">
        <v>0</v>
      </c>
      <c r="AB113" s="14" t="s">
        <v>284</v>
      </c>
      <c r="AC113" s="15">
        <v>0</v>
      </c>
      <c r="AD113" s="14" t="s">
        <v>284</v>
      </c>
      <c r="AE113" s="15">
        <v>0</v>
      </c>
      <c r="AF113" s="14" t="s">
        <v>284</v>
      </c>
      <c r="AG113" s="15">
        <v>0</v>
      </c>
    </row>
    <row r="115" spans="1:33" x14ac:dyDescent="0.2">
      <c r="A115" s="19"/>
      <c r="B115" s="19"/>
      <c r="C115" s="19"/>
      <c r="D115" s="19"/>
      <c r="E115" s="22" t="s">
        <v>584</v>
      </c>
      <c r="F115" s="20">
        <v>7.54</v>
      </c>
      <c r="G115" s="21"/>
      <c r="H115" s="21" t="s">
        <v>586</v>
      </c>
      <c r="I115" s="21"/>
      <c r="J115" s="21" t="s">
        <v>586</v>
      </c>
      <c r="K115" s="21"/>
      <c r="L115" s="21" t="s">
        <v>586</v>
      </c>
      <c r="M115" s="21"/>
      <c r="N115" s="21">
        <v>0.01</v>
      </c>
      <c r="O115" s="21"/>
      <c r="P115" s="21">
        <v>0.08</v>
      </c>
      <c r="Q115" s="21"/>
      <c r="R115" s="21">
        <v>0.46</v>
      </c>
      <c r="S115" s="21"/>
      <c r="T115" s="21">
        <v>7.0000000000000007E-2</v>
      </c>
      <c r="U115" s="21"/>
      <c r="V115" s="21" t="s">
        <v>586</v>
      </c>
      <c r="W115" s="21"/>
      <c r="X115" s="21" t="s">
        <v>586</v>
      </c>
      <c r="Y115" s="21"/>
      <c r="Z115" s="21">
        <v>1.1299999999999999</v>
      </c>
      <c r="AA115" s="21"/>
      <c r="AB115" s="21" t="s">
        <v>586</v>
      </c>
      <c r="AC115" s="21"/>
      <c r="AD115" s="21" t="s">
        <v>586</v>
      </c>
      <c r="AE115" s="21"/>
      <c r="AF115" s="21" t="s">
        <v>586</v>
      </c>
      <c r="AG115" s="19"/>
    </row>
    <row r="116" spans="1:33" x14ac:dyDescent="0.2">
      <c r="A116" s="19"/>
      <c r="B116" s="19"/>
      <c r="C116" s="19"/>
      <c r="D116" s="19"/>
      <c r="E116" s="22" t="s">
        <v>585</v>
      </c>
      <c r="F116" s="21">
        <f>F115/2</f>
        <v>3.77</v>
      </c>
      <c r="G116" s="21"/>
      <c r="H116" s="21" t="s">
        <v>586</v>
      </c>
      <c r="I116" s="21"/>
      <c r="J116" s="21" t="s">
        <v>586</v>
      </c>
      <c r="K116" s="21"/>
      <c r="L116" s="21" t="s">
        <v>586</v>
      </c>
      <c r="M116" s="21"/>
      <c r="N116" s="20">
        <f>N115/2</f>
        <v>5.0000000000000001E-3</v>
      </c>
      <c r="O116" s="21"/>
      <c r="P116" s="20">
        <f>P115/2</f>
        <v>0.04</v>
      </c>
      <c r="Q116" s="21"/>
      <c r="R116" s="20">
        <f>R115/2</f>
        <v>0.23</v>
      </c>
      <c r="S116" s="21"/>
      <c r="T116" s="20">
        <f>T115/2</f>
        <v>3.5000000000000003E-2</v>
      </c>
      <c r="U116" s="21"/>
      <c r="V116" s="20" t="s">
        <v>586</v>
      </c>
      <c r="W116" s="21"/>
      <c r="X116" s="20" t="s">
        <v>586</v>
      </c>
      <c r="Y116" s="21"/>
      <c r="Z116" s="21">
        <f>Z115/2</f>
        <v>0.56499999999999995</v>
      </c>
      <c r="AA116" s="21"/>
      <c r="AB116" s="20" t="s">
        <v>586</v>
      </c>
      <c r="AC116" s="21"/>
      <c r="AD116" s="20" t="s">
        <v>586</v>
      </c>
      <c r="AE116" s="21"/>
      <c r="AF116" s="20" t="s">
        <v>586</v>
      </c>
      <c r="AG116" s="19"/>
    </row>
  </sheetData>
  <autoFilter ref="A1:AG113" xr:uid="{1BB70F58-E5DA-EF46-A938-B90FDEB47FA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61D9-585C-EE43-82AE-B66EADEF626C}">
  <dimension ref="A1:Q185"/>
  <sheetViews>
    <sheetView zoomScale="110" zoomScaleNormal="110" workbookViewId="0">
      <selection activeCell="D9" sqref="D9:Q9"/>
    </sheetView>
  </sheetViews>
  <sheetFormatPr baseColWidth="10" defaultColWidth="8.83203125" defaultRowHeight="15" x14ac:dyDescent="0.2"/>
  <cols>
    <col min="1" max="1" width="5.33203125" bestFit="1" customWidth="1"/>
    <col min="2" max="2" width="8.1640625" bestFit="1" customWidth="1"/>
    <col min="3" max="3" width="11.1640625" bestFit="1" customWidth="1"/>
    <col min="4" max="5" width="9.5" bestFit="1" customWidth="1"/>
    <col min="7" max="7" width="9.5" bestFit="1" customWidth="1"/>
    <col min="10" max="10" width="14.33203125" bestFit="1" customWidth="1"/>
    <col min="12" max="12" width="11.33203125" bestFit="1" customWidth="1"/>
    <col min="13" max="13" width="11.5" bestFit="1" customWidth="1"/>
    <col min="14" max="14" width="16.5" bestFit="1" customWidth="1"/>
    <col min="16" max="16" width="9.5" bestFit="1" customWidth="1"/>
    <col min="17" max="17" width="15.5" bestFit="1" customWidth="1"/>
  </cols>
  <sheetData>
    <row r="1" spans="1:17" x14ac:dyDescent="0.2">
      <c r="A1" s="7" t="s">
        <v>232</v>
      </c>
    </row>
    <row r="2" spans="1:17" x14ac:dyDescent="0.2">
      <c r="A2" s="7" t="s">
        <v>233</v>
      </c>
    </row>
    <row r="3" spans="1:17" x14ac:dyDescent="0.2">
      <c r="A3" s="7" t="s">
        <v>234</v>
      </c>
    </row>
    <row r="4" spans="1:17" x14ac:dyDescent="0.2">
      <c r="A4" s="7" t="s">
        <v>235</v>
      </c>
    </row>
    <row r="5" spans="1:17" x14ac:dyDescent="0.2">
      <c r="A5" s="7" t="s">
        <v>236</v>
      </c>
    </row>
    <row r="6" spans="1:17" x14ac:dyDescent="0.2">
      <c r="A6" s="7" t="s">
        <v>237</v>
      </c>
    </row>
    <row r="7" spans="1:17" x14ac:dyDescent="0.2">
      <c r="A7" s="7" t="s">
        <v>238</v>
      </c>
    </row>
    <row r="9" spans="1:17" x14ac:dyDescent="0.2">
      <c r="A9" s="7"/>
      <c r="B9" s="7"/>
      <c r="C9" s="7"/>
      <c r="D9" s="7" t="s">
        <v>239</v>
      </c>
      <c r="E9" s="7" t="s">
        <v>240</v>
      </c>
      <c r="F9" s="7" t="s">
        <v>241</v>
      </c>
      <c r="G9" s="7" t="s">
        <v>242</v>
      </c>
      <c r="H9" s="7" t="s">
        <v>243</v>
      </c>
      <c r="I9" s="7" t="s">
        <v>244</v>
      </c>
      <c r="J9" s="7" t="s">
        <v>245</v>
      </c>
      <c r="K9" s="7" t="s">
        <v>246</v>
      </c>
      <c r="L9" s="7" t="s">
        <v>247</v>
      </c>
      <c r="M9" s="7" t="s">
        <v>248</v>
      </c>
      <c r="N9" s="7" t="s">
        <v>249</v>
      </c>
      <c r="O9" s="7" t="s">
        <v>250</v>
      </c>
      <c r="P9" s="7" t="s">
        <v>251</v>
      </c>
      <c r="Q9" s="7" t="s">
        <v>252</v>
      </c>
    </row>
    <row r="10" spans="1:17" x14ac:dyDescent="0.2">
      <c r="A10" s="7" t="s">
        <v>116</v>
      </c>
      <c r="B10" s="7" t="s">
        <v>253</v>
      </c>
      <c r="C10" s="7" t="s">
        <v>254</v>
      </c>
      <c r="D10" s="7" t="s">
        <v>255</v>
      </c>
      <c r="E10" s="7" t="s">
        <v>255</v>
      </c>
      <c r="F10" s="7" t="s">
        <v>255</v>
      </c>
      <c r="G10" s="7" t="s">
        <v>255</v>
      </c>
      <c r="H10" s="7" t="s">
        <v>255</v>
      </c>
      <c r="I10" s="7" t="s">
        <v>255</v>
      </c>
      <c r="J10" s="7" t="s">
        <v>255</v>
      </c>
      <c r="K10" s="7" t="s">
        <v>255</v>
      </c>
      <c r="L10" s="7" t="s">
        <v>255</v>
      </c>
      <c r="M10" s="7" t="s">
        <v>255</v>
      </c>
      <c r="N10" s="7" t="s">
        <v>255</v>
      </c>
      <c r="O10" s="7" t="s">
        <v>255</v>
      </c>
      <c r="P10" s="7" t="s">
        <v>255</v>
      </c>
      <c r="Q10" s="7" t="s">
        <v>255</v>
      </c>
    </row>
    <row r="11" spans="1:17" x14ac:dyDescent="0.2">
      <c r="A11" t="s">
        <v>256</v>
      </c>
      <c r="B11" t="s">
        <v>257</v>
      </c>
    </row>
    <row r="12" spans="1:17" x14ac:dyDescent="0.2">
      <c r="A12" t="s">
        <v>258</v>
      </c>
      <c r="B12" t="s">
        <v>259</v>
      </c>
      <c r="E12">
        <v>11283.62</v>
      </c>
      <c r="H12">
        <v>30191.98</v>
      </c>
      <c r="J12">
        <v>9611.33</v>
      </c>
      <c r="K12">
        <v>6794.37</v>
      </c>
      <c r="M12">
        <v>27927.58</v>
      </c>
      <c r="N12">
        <v>15490.17</v>
      </c>
      <c r="P12">
        <v>22060.05</v>
      </c>
    </row>
    <row r="13" spans="1:17" x14ac:dyDescent="0.2">
      <c r="A13" t="s">
        <v>260</v>
      </c>
      <c r="B13" t="s">
        <v>261</v>
      </c>
      <c r="D13">
        <v>21748.31</v>
      </c>
      <c r="E13">
        <v>2743.9</v>
      </c>
      <c r="F13">
        <v>7308.92</v>
      </c>
      <c r="G13">
        <v>13329.35</v>
      </c>
      <c r="H13">
        <v>8439.5</v>
      </c>
      <c r="I13">
        <v>8900.43</v>
      </c>
      <c r="J13">
        <v>2401.3000000000002</v>
      </c>
      <c r="K13">
        <v>1666.3</v>
      </c>
      <c r="L13">
        <v>13816.93</v>
      </c>
      <c r="M13">
        <v>7465.45</v>
      </c>
      <c r="N13">
        <v>3772.65</v>
      </c>
      <c r="P13">
        <v>6592.55</v>
      </c>
      <c r="Q13">
        <v>12210.79</v>
      </c>
    </row>
    <row r="14" spans="1:17" x14ac:dyDescent="0.2">
      <c r="A14" t="s">
        <v>262</v>
      </c>
      <c r="B14" t="s">
        <v>263</v>
      </c>
      <c r="D14">
        <v>5308</v>
      </c>
      <c r="E14">
        <v>717.35</v>
      </c>
      <c r="F14">
        <v>1848.78</v>
      </c>
      <c r="G14">
        <v>3358.35</v>
      </c>
      <c r="H14">
        <v>1999.65</v>
      </c>
      <c r="I14">
        <v>2224.85</v>
      </c>
      <c r="J14">
        <v>597.49</v>
      </c>
      <c r="K14">
        <v>429.63</v>
      </c>
      <c r="L14">
        <v>3440.5</v>
      </c>
      <c r="M14">
        <v>1749.53</v>
      </c>
      <c r="N14">
        <v>957.44</v>
      </c>
      <c r="O14">
        <v>2777.41</v>
      </c>
      <c r="P14">
        <v>1470.01</v>
      </c>
      <c r="Q14">
        <v>3072.81</v>
      </c>
    </row>
    <row r="15" spans="1:17" x14ac:dyDescent="0.2">
      <c r="A15" t="s">
        <v>264</v>
      </c>
      <c r="B15" t="s">
        <v>265</v>
      </c>
      <c r="D15">
        <v>1352.46</v>
      </c>
      <c r="E15">
        <v>172.43</v>
      </c>
      <c r="F15">
        <v>456.23</v>
      </c>
      <c r="G15">
        <v>832.77</v>
      </c>
      <c r="H15">
        <v>536.41999999999996</v>
      </c>
      <c r="I15">
        <v>560.27</v>
      </c>
      <c r="J15">
        <v>151.44999999999999</v>
      </c>
      <c r="K15">
        <v>103.76</v>
      </c>
      <c r="L15">
        <v>867.75</v>
      </c>
      <c r="M15">
        <v>467.6</v>
      </c>
      <c r="N15">
        <v>237.01</v>
      </c>
      <c r="O15">
        <v>679.06</v>
      </c>
      <c r="P15">
        <v>392.79</v>
      </c>
      <c r="Q15">
        <v>766.18</v>
      </c>
    </row>
    <row r="16" spans="1:17" x14ac:dyDescent="0.2">
      <c r="A16" t="s">
        <v>266</v>
      </c>
      <c r="B16" t="s">
        <v>267</v>
      </c>
      <c r="D16">
        <v>331.82</v>
      </c>
      <c r="E16">
        <v>44.04</v>
      </c>
      <c r="F16">
        <v>115.9</v>
      </c>
      <c r="G16">
        <v>208.79</v>
      </c>
      <c r="H16">
        <v>122.92</v>
      </c>
      <c r="I16">
        <v>135.91999999999999</v>
      </c>
      <c r="J16">
        <v>37</v>
      </c>
      <c r="K16">
        <v>26.53</v>
      </c>
      <c r="L16">
        <v>213.43</v>
      </c>
      <c r="M16">
        <v>116.6</v>
      </c>
      <c r="N16">
        <v>58.12</v>
      </c>
      <c r="O16">
        <v>178.99</v>
      </c>
      <c r="P16">
        <v>95.45</v>
      </c>
      <c r="Q16">
        <v>192.3</v>
      </c>
    </row>
    <row r="17" spans="1:17" x14ac:dyDescent="0.2">
      <c r="A17" t="s">
        <v>268</v>
      </c>
      <c r="B17" t="s">
        <v>269</v>
      </c>
      <c r="D17">
        <v>84.84</v>
      </c>
      <c r="E17">
        <v>10.9</v>
      </c>
      <c r="F17">
        <v>28.35</v>
      </c>
      <c r="G17">
        <v>52.95</v>
      </c>
      <c r="H17">
        <v>32.79</v>
      </c>
      <c r="I17">
        <v>35.94</v>
      </c>
      <c r="J17">
        <v>9.5</v>
      </c>
      <c r="K17">
        <v>6.61</v>
      </c>
      <c r="L17">
        <v>54.67</v>
      </c>
      <c r="M17">
        <v>26.56</v>
      </c>
      <c r="N17">
        <v>15.42</v>
      </c>
      <c r="O17">
        <v>41.28</v>
      </c>
      <c r="P17">
        <v>24.41</v>
      </c>
      <c r="Q17">
        <v>47.73</v>
      </c>
    </row>
    <row r="18" spans="1:17" x14ac:dyDescent="0.2">
      <c r="A18" t="s">
        <v>270</v>
      </c>
      <c r="B18" t="s">
        <v>271</v>
      </c>
      <c r="D18">
        <v>20.67</v>
      </c>
      <c r="F18">
        <v>7.32</v>
      </c>
      <c r="G18">
        <v>12.51</v>
      </c>
      <c r="H18">
        <v>7.95</v>
      </c>
      <c r="I18">
        <v>8.49</v>
      </c>
      <c r="J18">
        <v>2.3199999999999998</v>
      </c>
      <c r="K18">
        <v>1.64</v>
      </c>
      <c r="L18">
        <v>13.29</v>
      </c>
      <c r="M18">
        <v>7.38</v>
      </c>
      <c r="N18">
        <v>3.62</v>
      </c>
      <c r="O18">
        <v>11.38</v>
      </c>
      <c r="P18">
        <v>5.57</v>
      </c>
      <c r="Q18">
        <v>12.09</v>
      </c>
    </row>
    <row r="19" spans="1:17" x14ac:dyDescent="0.2">
      <c r="A19" t="s">
        <v>272</v>
      </c>
      <c r="B19" t="s">
        <v>273</v>
      </c>
      <c r="G19">
        <v>3.56</v>
      </c>
      <c r="O19">
        <v>2.58</v>
      </c>
      <c r="P19">
        <v>1.64</v>
      </c>
    </row>
    <row r="20" spans="1:17" x14ac:dyDescent="0.2">
      <c r="A20" t="s">
        <v>274</v>
      </c>
      <c r="B20" t="s">
        <v>275</v>
      </c>
      <c r="C20" t="s">
        <v>260</v>
      </c>
      <c r="D20">
        <v>18988.240000000002</v>
      </c>
      <c r="E20">
        <v>2910.69</v>
      </c>
      <c r="F20">
        <v>5590.82</v>
      </c>
      <c r="G20">
        <v>11435.28</v>
      </c>
      <c r="H20">
        <v>8439.5</v>
      </c>
      <c r="I20">
        <v>5825.3</v>
      </c>
      <c r="J20">
        <v>2284.84</v>
      </c>
      <c r="K20">
        <v>1517.74</v>
      </c>
      <c r="L20">
        <v>11926.59</v>
      </c>
      <c r="M20">
        <v>6839.28</v>
      </c>
      <c r="N20">
        <v>3791.25</v>
      </c>
      <c r="O20" t="s">
        <v>276</v>
      </c>
      <c r="P20">
        <v>7689.3</v>
      </c>
      <c r="Q20">
        <v>7518.9</v>
      </c>
    </row>
    <row r="21" spans="1:17" x14ac:dyDescent="0.2">
      <c r="A21" t="s">
        <v>277</v>
      </c>
      <c r="B21" t="s">
        <v>278</v>
      </c>
      <c r="C21" t="s">
        <v>264</v>
      </c>
      <c r="D21">
        <v>1203.7</v>
      </c>
      <c r="E21">
        <v>164.75</v>
      </c>
      <c r="F21">
        <v>404.74</v>
      </c>
      <c r="G21">
        <v>741.87</v>
      </c>
      <c r="H21">
        <v>542.65</v>
      </c>
      <c r="I21">
        <v>532.9</v>
      </c>
      <c r="J21">
        <v>142.16</v>
      </c>
      <c r="K21">
        <v>102.41</v>
      </c>
      <c r="L21">
        <v>774.74</v>
      </c>
      <c r="M21">
        <v>438.48</v>
      </c>
      <c r="N21">
        <v>239.33</v>
      </c>
      <c r="O21">
        <v>613.12</v>
      </c>
      <c r="P21">
        <v>394.51</v>
      </c>
      <c r="Q21">
        <v>671.2</v>
      </c>
    </row>
    <row r="22" spans="1:17" x14ac:dyDescent="0.2">
      <c r="A22" t="s">
        <v>279</v>
      </c>
      <c r="B22" t="s">
        <v>280</v>
      </c>
      <c r="C22" t="s">
        <v>268</v>
      </c>
      <c r="D22">
        <v>92.73</v>
      </c>
      <c r="E22" t="s">
        <v>281</v>
      </c>
      <c r="F22">
        <v>26.21</v>
      </c>
      <c r="G22">
        <v>50.87</v>
      </c>
      <c r="H22">
        <v>24.58</v>
      </c>
      <c r="I22">
        <v>33.51</v>
      </c>
      <c r="J22">
        <v>9.42</v>
      </c>
      <c r="K22">
        <v>7.33</v>
      </c>
      <c r="L22">
        <v>56.23</v>
      </c>
      <c r="M22">
        <v>30.65</v>
      </c>
      <c r="N22">
        <v>13.39</v>
      </c>
      <c r="O22">
        <v>41.74</v>
      </c>
      <c r="P22">
        <v>24.9</v>
      </c>
      <c r="Q22">
        <v>44.3</v>
      </c>
    </row>
    <row r="23" spans="1:17" x14ac:dyDescent="0.2">
      <c r="A23" t="s">
        <v>282</v>
      </c>
      <c r="B23" t="s">
        <v>283</v>
      </c>
      <c r="C23" t="s">
        <v>120</v>
      </c>
      <c r="D23" t="s">
        <v>284</v>
      </c>
      <c r="E23" t="s">
        <v>284</v>
      </c>
      <c r="F23" t="s">
        <v>284</v>
      </c>
      <c r="G23" t="s">
        <v>284</v>
      </c>
      <c r="H23" t="s">
        <v>284</v>
      </c>
      <c r="I23">
        <v>25.35</v>
      </c>
      <c r="J23">
        <v>9.83</v>
      </c>
      <c r="K23" t="s">
        <v>284</v>
      </c>
      <c r="L23">
        <v>405.42</v>
      </c>
      <c r="M23" t="s">
        <v>284</v>
      </c>
      <c r="N23" t="s">
        <v>284</v>
      </c>
      <c r="O23" t="s">
        <v>284</v>
      </c>
      <c r="P23" t="s">
        <v>284</v>
      </c>
      <c r="Q23" t="s">
        <v>284</v>
      </c>
    </row>
    <row r="24" spans="1:17" x14ac:dyDescent="0.2">
      <c r="A24" t="s">
        <v>285</v>
      </c>
      <c r="B24" t="s">
        <v>286</v>
      </c>
      <c r="C24" t="s">
        <v>121</v>
      </c>
      <c r="D24" t="s">
        <v>284</v>
      </c>
      <c r="E24" t="s">
        <v>284</v>
      </c>
      <c r="F24" t="s">
        <v>284</v>
      </c>
      <c r="G24" t="s">
        <v>284</v>
      </c>
      <c r="H24" t="s">
        <v>287</v>
      </c>
      <c r="I24">
        <v>47.13</v>
      </c>
      <c r="J24">
        <v>3.29</v>
      </c>
      <c r="K24" t="s">
        <v>284</v>
      </c>
      <c r="L24">
        <v>313.33999999999997</v>
      </c>
      <c r="M24" t="s">
        <v>284</v>
      </c>
      <c r="N24" t="s">
        <v>284</v>
      </c>
      <c r="O24" t="s">
        <v>284</v>
      </c>
      <c r="P24" t="s">
        <v>284</v>
      </c>
      <c r="Q24" t="s">
        <v>284</v>
      </c>
    </row>
    <row r="25" spans="1:17" x14ac:dyDescent="0.2">
      <c r="A25" t="s">
        <v>288</v>
      </c>
      <c r="B25" t="s">
        <v>289</v>
      </c>
      <c r="C25" t="s">
        <v>122</v>
      </c>
      <c r="D25" t="s">
        <v>284</v>
      </c>
      <c r="E25" t="s">
        <v>284</v>
      </c>
      <c r="F25" t="s">
        <v>284</v>
      </c>
      <c r="G25" t="s">
        <v>284</v>
      </c>
      <c r="H25" t="s">
        <v>290</v>
      </c>
      <c r="I25">
        <v>53.41</v>
      </c>
      <c r="J25">
        <v>3.47</v>
      </c>
      <c r="K25" t="s">
        <v>284</v>
      </c>
      <c r="L25">
        <v>379.9</v>
      </c>
      <c r="M25" t="s">
        <v>284</v>
      </c>
      <c r="N25" t="s">
        <v>284</v>
      </c>
      <c r="O25" t="s">
        <v>284</v>
      </c>
      <c r="P25" t="s">
        <v>284</v>
      </c>
      <c r="Q25" t="s">
        <v>284</v>
      </c>
    </row>
    <row r="26" spans="1:17" x14ac:dyDescent="0.2">
      <c r="A26" t="s">
        <v>291</v>
      </c>
      <c r="B26" t="s">
        <v>292</v>
      </c>
      <c r="C26" t="s">
        <v>123</v>
      </c>
      <c r="D26" t="s">
        <v>284</v>
      </c>
      <c r="E26" t="s">
        <v>284</v>
      </c>
      <c r="F26" t="s">
        <v>284</v>
      </c>
      <c r="G26" t="s">
        <v>284</v>
      </c>
      <c r="H26" t="s">
        <v>293</v>
      </c>
      <c r="I26">
        <v>416.67</v>
      </c>
      <c r="J26">
        <v>87.29</v>
      </c>
      <c r="K26">
        <v>105.86</v>
      </c>
      <c r="L26">
        <v>660.73</v>
      </c>
      <c r="M26" t="s">
        <v>284</v>
      </c>
      <c r="N26" t="s">
        <v>284</v>
      </c>
      <c r="O26" t="s">
        <v>284</v>
      </c>
      <c r="P26" t="s">
        <v>284</v>
      </c>
      <c r="Q26" t="s">
        <v>284</v>
      </c>
    </row>
    <row r="27" spans="1:17" x14ac:dyDescent="0.2">
      <c r="A27" t="s">
        <v>294</v>
      </c>
      <c r="B27" t="s">
        <v>295</v>
      </c>
      <c r="C27" t="s">
        <v>124</v>
      </c>
      <c r="D27" t="s">
        <v>284</v>
      </c>
      <c r="E27" t="s">
        <v>284</v>
      </c>
      <c r="F27" t="s">
        <v>284</v>
      </c>
      <c r="G27" t="s">
        <v>284</v>
      </c>
      <c r="H27" t="s">
        <v>296</v>
      </c>
      <c r="I27">
        <v>50.78</v>
      </c>
      <c r="J27">
        <v>18.75</v>
      </c>
      <c r="K27" t="s">
        <v>297</v>
      </c>
      <c r="L27">
        <v>580.6</v>
      </c>
      <c r="M27" t="s">
        <v>284</v>
      </c>
      <c r="N27" t="s">
        <v>284</v>
      </c>
      <c r="O27" t="s">
        <v>284</v>
      </c>
      <c r="P27" t="s">
        <v>284</v>
      </c>
      <c r="Q27" t="s">
        <v>284</v>
      </c>
    </row>
    <row r="28" spans="1:17" x14ac:dyDescent="0.2">
      <c r="A28" t="s">
        <v>298</v>
      </c>
      <c r="B28" t="s">
        <v>299</v>
      </c>
      <c r="C28" t="s">
        <v>125</v>
      </c>
      <c r="D28" t="s">
        <v>284</v>
      </c>
      <c r="E28" t="s">
        <v>284</v>
      </c>
      <c r="F28" t="s">
        <v>284</v>
      </c>
      <c r="G28" t="s">
        <v>284</v>
      </c>
      <c r="H28" t="s">
        <v>296</v>
      </c>
      <c r="I28">
        <v>55.37</v>
      </c>
      <c r="J28">
        <v>22.31</v>
      </c>
      <c r="K28">
        <v>4.12</v>
      </c>
      <c r="L28">
        <v>655.39</v>
      </c>
      <c r="M28" t="s">
        <v>284</v>
      </c>
      <c r="N28" t="s">
        <v>284</v>
      </c>
      <c r="O28" t="s">
        <v>284</v>
      </c>
      <c r="P28" t="s">
        <v>284</v>
      </c>
      <c r="Q28" t="s">
        <v>284</v>
      </c>
    </row>
    <row r="29" spans="1:17" x14ac:dyDescent="0.2">
      <c r="A29" t="s">
        <v>300</v>
      </c>
      <c r="B29" t="s">
        <v>301</v>
      </c>
      <c r="C29" t="s">
        <v>126</v>
      </c>
      <c r="D29" t="s">
        <v>284</v>
      </c>
      <c r="E29" t="s">
        <v>284</v>
      </c>
      <c r="F29" t="s">
        <v>284</v>
      </c>
      <c r="G29" t="s">
        <v>284</v>
      </c>
      <c r="H29" t="s">
        <v>290</v>
      </c>
      <c r="I29">
        <v>90.99</v>
      </c>
      <c r="J29">
        <v>2.81</v>
      </c>
      <c r="K29">
        <v>10.4</v>
      </c>
      <c r="L29">
        <v>423.87</v>
      </c>
      <c r="M29" t="s">
        <v>284</v>
      </c>
      <c r="N29" t="s">
        <v>284</v>
      </c>
      <c r="O29" t="s">
        <v>284</v>
      </c>
      <c r="P29" t="s">
        <v>284</v>
      </c>
      <c r="Q29" t="s">
        <v>284</v>
      </c>
    </row>
    <row r="30" spans="1:17" x14ac:dyDescent="0.2">
      <c r="A30" t="s">
        <v>302</v>
      </c>
      <c r="B30" t="s">
        <v>303</v>
      </c>
      <c r="C30" t="s">
        <v>127</v>
      </c>
      <c r="D30" t="s">
        <v>284</v>
      </c>
      <c r="E30" t="s">
        <v>284</v>
      </c>
      <c r="F30" t="s">
        <v>284</v>
      </c>
      <c r="G30" t="s">
        <v>284</v>
      </c>
      <c r="H30" t="s">
        <v>304</v>
      </c>
      <c r="I30">
        <v>59.92</v>
      </c>
      <c r="J30">
        <v>2.5</v>
      </c>
      <c r="K30" t="s">
        <v>284</v>
      </c>
      <c r="L30">
        <v>416.77</v>
      </c>
      <c r="M30" t="s">
        <v>284</v>
      </c>
      <c r="N30" t="s">
        <v>284</v>
      </c>
      <c r="O30" t="s">
        <v>284</v>
      </c>
      <c r="P30" t="s">
        <v>284</v>
      </c>
      <c r="Q30" t="s">
        <v>284</v>
      </c>
    </row>
    <row r="31" spans="1:17" x14ac:dyDescent="0.2">
      <c r="A31" t="s">
        <v>305</v>
      </c>
      <c r="B31" t="s">
        <v>306</v>
      </c>
      <c r="C31" t="s">
        <v>128</v>
      </c>
      <c r="D31" t="s">
        <v>284</v>
      </c>
      <c r="E31" t="s">
        <v>284</v>
      </c>
      <c r="F31" t="s">
        <v>284</v>
      </c>
      <c r="G31" t="s">
        <v>284</v>
      </c>
      <c r="H31" t="s">
        <v>284</v>
      </c>
      <c r="I31">
        <v>42.76</v>
      </c>
      <c r="J31">
        <v>5.77</v>
      </c>
      <c r="K31" t="s">
        <v>284</v>
      </c>
      <c r="L31">
        <v>613.32000000000005</v>
      </c>
      <c r="M31" t="s">
        <v>284</v>
      </c>
      <c r="N31" t="s">
        <v>284</v>
      </c>
      <c r="O31" t="s">
        <v>284</v>
      </c>
      <c r="P31" t="s">
        <v>284</v>
      </c>
      <c r="Q31" t="s">
        <v>284</v>
      </c>
    </row>
    <row r="32" spans="1:17" x14ac:dyDescent="0.2">
      <c r="A32" t="s">
        <v>307</v>
      </c>
      <c r="B32" t="s">
        <v>308</v>
      </c>
      <c r="C32" t="s">
        <v>129</v>
      </c>
      <c r="D32" t="s">
        <v>284</v>
      </c>
      <c r="E32" t="s">
        <v>284</v>
      </c>
      <c r="F32" t="s">
        <v>284</v>
      </c>
      <c r="G32" t="s">
        <v>284</v>
      </c>
      <c r="H32">
        <v>9.36</v>
      </c>
      <c r="I32">
        <v>347.38</v>
      </c>
      <c r="J32">
        <v>47.59</v>
      </c>
      <c r="K32">
        <v>17.34</v>
      </c>
      <c r="L32">
        <v>308.14999999999998</v>
      </c>
      <c r="M32" t="s">
        <v>284</v>
      </c>
      <c r="N32" t="s">
        <v>284</v>
      </c>
      <c r="O32" t="s">
        <v>284</v>
      </c>
      <c r="P32" t="s">
        <v>284</v>
      </c>
      <c r="Q32" t="s">
        <v>284</v>
      </c>
    </row>
    <row r="33" spans="1:17" x14ac:dyDescent="0.2">
      <c r="A33" t="s">
        <v>309</v>
      </c>
      <c r="B33" t="s">
        <v>310</v>
      </c>
      <c r="C33" t="s">
        <v>130</v>
      </c>
      <c r="D33" t="s">
        <v>284</v>
      </c>
      <c r="E33" t="s">
        <v>284</v>
      </c>
      <c r="F33" t="s">
        <v>284</v>
      </c>
      <c r="G33" t="s">
        <v>284</v>
      </c>
      <c r="H33" t="s">
        <v>284</v>
      </c>
      <c r="I33">
        <v>13.34</v>
      </c>
      <c r="J33" t="s">
        <v>311</v>
      </c>
      <c r="K33" t="s">
        <v>284</v>
      </c>
      <c r="L33">
        <v>267.51</v>
      </c>
      <c r="M33" t="s">
        <v>284</v>
      </c>
      <c r="N33" t="s">
        <v>284</v>
      </c>
      <c r="O33" t="s">
        <v>284</v>
      </c>
      <c r="P33" t="s">
        <v>284</v>
      </c>
      <c r="Q33" t="s">
        <v>284</v>
      </c>
    </row>
    <row r="34" spans="1:17" x14ac:dyDescent="0.2">
      <c r="A34" t="s">
        <v>312</v>
      </c>
      <c r="B34" t="s">
        <v>313</v>
      </c>
      <c r="C34" t="s">
        <v>131</v>
      </c>
      <c r="D34" t="s">
        <v>284</v>
      </c>
      <c r="E34" t="s">
        <v>284</v>
      </c>
      <c r="F34" t="s">
        <v>284</v>
      </c>
      <c r="G34" t="s">
        <v>284</v>
      </c>
      <c r="H34" t="s">
        <v>314</v>
      </c>
      <c r="I34">
        <v>8.49</v>
      </c>
      <c r="J34">
        <v>8.1</v>
      </c>
      <c r="K34" t="s">
        <v>284</v>
      </c>
      <c r="L34">
        <v>327.98</v>
      </c>
      <c r="M34" t="s">
        <v>284</v>
      </c>
      <c r="N34" t="s">
        <v>284</v>
      </c>
      <c r="O34" t="s">
        <v>284</v>
      </c>
      <c r="P34" t="s">
        <v>284</v>
      </c>
      <c r="Q34" t="s">
        <v>284</v>
      </c>
    </row>
    <row r="35" spans="1:17" x14ac:dyDescent="0.2">
      <c r="A35" t="s">
        <v>315</v>
      </c>
      <c r="B35" t="s">
        <v>316</v>
      </c>
      <c r="C35" t="s">
        <v>132</v>
      </c>
      <c r="D35" t="s">
        <v>284</v>
      </c>
      <c r="E35" t="s">
        <v>284</v>
      </c>
      <c r="F35" t="s">
        <v>284</v>
      </c>
      <c r="G35" t="s">
        <v>284</v>
      </c>
      <c r="H35" t="s">
        <v>314</v>
      </c>
      <c r="I35">
        <v>290.74</v>
      </c>
      <c r="J35">
        <v>114.27</v>
      </c>
      <c r="K35">
        <v>9.42</v>
      </c>
      <c r="L35">
        <v>2386.6</v>
      </c>
      <c r="M35" t="s">
        <v>284</v>
      </c>
      <c r="N35" t="s">
        <v>284</v>
      </c>
      <c r="O35" t="s">
        <v>284</v>
      </c>
      <c r="P35" t="s">
        <v>284</v>
      </c>
      <c r="Q35" t="s">
        <v>284</v>
      </c>
    </row>
    <row r="36" spans="1:17" x14ac:dyDescent="0.2">
      <c r="A36" t="s">
        <v>317</v>
      </c>
      <c r="B36" t="s">
        <v>318</v>
      </c>
      <c r="C36" t="s">
        <v>133</v>
      </c>
      <c r="D36" t="s">
        <v>284</v>
      </c>
      <c r="E36" t="s">
        <v>284</v>
      </c>
      <c r="F36" t="s">
        <v>284</v>
      </c>
      <c r="G36" t="s">
        <v>284</v>
      </c>
      <c r="H36">
        <v>12.19</v>
      </c>
      <c r="I36">
        <v>142.29</v>
      </c>
      <c r="J36">
        <v>31.57</v>
      </c>
      <c r="K36">
        <v>5.0999999999999996</v>
      </c>
      <c r="L36">
        <v>1455.97</v>
      </c>
      <c r="M36" t="s">
        <v>284</v>
      </c>
      <c r="N36" t="s">
        <v>284</v>
      </c>
      <c r="O36" t="s">
        <v>284</v>
      </c>
      <c r="P36" t="s">
        <v>284</v>
      </c>
      <c r="Q36" t="s">
        <v>284</v>
      </c>
    </row>
    <row r="37" spans="1:17" x14ac:dyDescent="0.2">
      <c r="A37" t="s">
        <v>319</v>
      </c>
      <c r="B37" t="s">
        <v>320</v>
      </c>
      <c r="C37" t="s">
        <v>134</v>
      </c>
      <c r="D37" t="s">
        <v>284</v>
      </c>
      <c r="E37" t="s">
        <v>284</v>
      </c>
      <c r="F37" t="s">
        <v>284</v>
      </c>
      <c r="G37" t="s">
        <v>284</v>
      </c>
      <c r="H37" t="s">
        <v>304</v>
      </c>
      <c r="I37">
        <v>227.73</v>
      </c>
      <c r="J37">
        <v>36.68</v>
      </c>
      <c r="K37" t="s">
        <v>284</v>
      </c>
      <c r="L37">
        <v>633.6</v>
      </c>
      <c r="M37" t="s">
        <v>284</v>
      </c>
      <c r="N37" t="s">
        <v>284</v>
      </c>
      <c r="O37" t="s">
        <v>284</v>
      </c>
      <c r="P37" t="s">
        <v>284</v>
      </c>
      <c r="Q37" t="s">
        <v>284</v>
      </c>
    </row>
    <row r="38" spans="1:17" x14ac:dyDescent="0.2">
      <c r="A38" t="s">
        <v>321</v>
      </c>
      <c r="B38" t="s">
        <v>322</v>
      </c>
      <c r="C38" t="s">
        <v>135</v>
      </c>
      <c r="D38" t="s">
        <v>284</v>
      </c>
      <c r="E38" t="s">
        <v>284</v>
      </c>
      <c r="F38" t="s">
        <v>284</v>
      </c>
      <c r="G38" t="s">
        <v>284</v>
      </c>
      <c r="H38" t="s">
        <v>314</v>
      </c>
      <c r="I38">
        <v>78.319999999999993</v>
      </c>
      <c r="J38">
        <v>14.38</v>
      </c>
      <c r="K38" t="s">
        <v>284</v>
      </c>
      <c r="L38">
        <v>506.95</v>
      </c>
      <c r="M38" t="s">
        <v>284</v>
      </c>
      <c r="N38" t="s">
        <v>284</v>
      </c>
      <c r="O38" t="s">
        <v>284</v>
      </c>
      <c r="P38" t="s">
        <v>284</v>
      </c>
      <c r="Q38" t="s">
        <v>284</v>
      </c>
    </row>
    <row r="39" spans="1:17" x14ac:dyDescent="0.2">
      <c r="A39" t="s">
        <v>323</v>
      </c>
      <c r="B39" t="s">
        <v>324</v>
      </c>
      <c r="C39" t="s">
        <v>136</v>
      </c>
      <c r="D39" t="s">
        <v>284</v>
      </c>
      <c r="E39" t="s">
        <v>284</v>
      </c>
      <c r="F39" t="s">
        <v>284</v>
      </c>
      <c r="G39" t="s">
        <v>284</v>
      </c>
      <c r="H39" t="s">
        <v>284</v>
      </c>
      <c r="I39">
        <v>18.72</v>
      </c>
      <c r="J39">
        <v>5.26</v>
      </c>
      <c r="K39" t="s">
        <v>284</v>
      </c>
      <c r="L39">
        <v>398.8</v>
      </c>
      <c r="M39" t="s">
        <v>284</v>
      </c>
      <c r="N39" t="s">
        <v>284</v>
      </c>
      <c r="O39" t="s">
        <v>284</v>
      </c>
      <c r="P39" t="s">
        <v>284</v>
      </c>
      <c r="Q39" t="s">
        <v>284</v>
      </c>
    </row>
    <row r="40" spans="1:17" x14ac:dyDescent="0.2">
      <c r="A40" t="s">
        <v>325</v>
      </c>
      <c r="B40" t="s">
        <v>326</v>
      </c>
      <c r="C40" t="s">
        <v>137</v>
      </c>
      <c r="D40" t="s">
        <v>284</v>
      </c>
      <c r="E40" t="s">
        <v>284</v>
      </c>
      <c r="F40" t="s">
        <v>284</v>
      </c>
      <c r="G40" t="s">
        <v>284</v>
      </c>
      <c r="H40">
        <v>15.07</v>
      </c>
      <c r="I40">
        <v>2035.06</v>
      </c>
      <c r="J40">
        <v>179.94</v>
      </c>
      <c r="K40">
        <v>212.38</v>
      </c>
      <c r="L40">
        <v>711.38</v>
      </c>
      <c r="M40" t="s">
        <v>284</v>
      </c>
      <c r="N40" t="s">
        <v>284</v>
      </c>
      <c r="O40" t="s">
        <v>284</v>
      </c>
      <c r="P40">
        <v>2.1800000000000002</v>
      </c>
      <c r="Q40" t="s">
        <v>284</v>
      </c>
    </row>
    <row r="41" spans="1:17" x14ac:dyDescent="0.2">
      <c r="A41" t="s">
        <v>327</v>
      </c>
      <c r="B41" t="s">
        <v>328</v>
      </c>
      <c r="C41" t="s">
        <v>138</v>
      </c>
      <c r="D41" t="s">
        <v>284</v>
      </c>
      <c r="E41" t="s">
        <v>284</v>
      </c>
      <c r="F41" t="s">
        <v>284</v>
      </c>
      <c r="G41" t="s">
        <v>284</v>
      </c>
      <c r="H41" t="s">
        <v>284</v>
      </c>
      <c r="I41">
        <v>72.05</v>
      </c>
      <c r="J41">
        <v>217.63</v>
      </c>
      <c r="K41">
        <v>3.14</v>
      </c>
      <c r="L41">
        <v>2242.2600000000002</v>
      </c>
      <c r="M41" t="s">
        <v>284</v>
      </c>
      <c r="N41" t="s">
        <v>284</v>
      </c>
      <c r="O41" t="s">
        <v>284</v>
      </c>
      <c r="P41" t="s">
        <v>284</v>
      </c>
      <c r="Q41" t="s">
        <v>284</v>
      </c>
    </row>
    <row r="42" spans="1:17" x14ac:dyDescent="0.2">
      <c r="A42" t="s">
        <v>329</v>
      </c>
      <c r="B42" t="s">
        <v>330</v>
      </c>
      <c r="C42" t="s">
        <v>139</v>
      </c>
      <c r="D42" t="s">
        <v>284</v>
      </c>
      <c r="E42" t="s">
        <v>284</v>
      </c>
      <c r="F42" t="s">
        <v>284</v>
      </c>
      <c r="G42" t="s">
        <v>284</v>
      </c>
      <c r="H42" t="s">
        <v>314</v>
      </c>
      <c r="I42">
        <v>61.21</v>
      </c>
      <c r="J42">
        <v>193.3</v>
      </c>
      <c r="K42">
        <v>4.6100000000000003</v>
      </c>
      <c r="L42">
        <v>737.83</v>
      </c>
      <c r="M42" t="s">
        <v>284</v>
      </c>
      <c r="N42" t="s">
        <v>284</v>
      </c>
      <c r="O42" t="s">
        <v>284</v>
      </c>
      <c r="P42" t="s">
        <v>284</v>
      </c>
      <c r="Q42" t="s">
        <v>284</v>
      </c>
    </row>
    <row r="43" spans="1:17" x14ac:dyDescent="0.2">
      <c r="A43" t="s">
        <v>331</v>
      </c>
      <c r="B43" t="s">
        <v>332</v>
      </c>
      <c r="C43" t="s">
        <v>140</v>
      </c>
      <c r="D43" t="s">
        <v>284</v>
      </c>
      <c r="E43" t="s">
        <v>284</v>
      </c>
      <c r="F43" t="s">
        <v>284</v>
      </c>
      <c r="G43" t="s">
        <v>284</v>
      </c>
      <c r="H43" t="s">
        <v>284</v>
      </c>
      <c r="I43">
        <v>14.9</v>
      </c>
      <c r="J43" t="s">
        <v>333</v>
      </c>
      <c r="K43" t="s">
        <v>284</v>
      </c>
      <c r="L43">
        <v>264.67</v>
      </c>
      <c r="M43" t="s">
        <v>284</v>
      </c>
      <c r="N43" t="s">
        <v>284</v>
      </c>
      <c r="O43" t="s">
        <v>284</v>
      </c>
      <c r="P43" t="s">
        <v>284</v>
      </c>
      <c r="Q43" t="s">
        <v>284</v>
      </c>
    </row>
    <row r="44" spans="1:17" x14ac:dyDescent="0.2">
      <c r="A44" t="s">
        <v>334</v>
      </c>
      <c r="B44" t="s">
        <v>335</v>
      </c>
      <c r="C44" t="s">
        <v>141</v>
      </c>
      <c r="D44" t="s">
        <v>284</v>
      </c>
      <c r="E44" t="s">
        <v>284</v>
      </c>
      <c r="F44" t="s">
        <v>284</v>
      </c>
      <c r="G44" t="s">
        <v>284</v>
      </c>
      <c r="H44" t="s">
        <v>284</v>
      </c>
      <c r="I44">
        <v>17.2</v>
      </c>
      <c r="J44">
        <v>2.68</v>
      </c>
      <c r="K44" t="s">
        <v>284</v>
      </c>
      <c r="L44">
        <v>289.26</v>
      </c>
      <c r="M44" t="s">
        <v>284</v>
      </c>
      <c r="N44" t="s">
        <v>284</v>
      </c>
      <c r="O44" t="s">
        <v>284</v>
      </c>
      <c r="P44" t="s">
        <v>284</v>
      </c>
      <c r="Q44" t="s">
        <v>284</v>
      </c>
    </row>
    <row r="45" spans="1:17" x14ac:dyDescent="0.2">
      <c r="A45" t="s">
        <v>336</v>
      </c>
      <c r="B45" t="s">
        <v>337</v>
      </c>
      <c r="C45" t="s">
        <v>142</v>
      </c>
      <c r="D45" t="s">
        <v>284</v>
      </c>
      <c r="E45" t="s">
        <v>284</v>
      </c>
      <c r="F45" t="s">
        <v>284</v>
      </c>
      <c r="G45" t="s">
        <v>284</v>
      </c>
      <c r="H45" t="s">
        <v>284</v>
      </c>
      <c r="I45" t="s">
        <v>284</v>
      </c>
      <c r="J45" t="s">
        <v>338</v>
      </c>
      <c r="K45" t="s">
        <v>284</v>
      </c>
      <c r="L45">
        <v>330.81</v>
      </c>
      <c r="M45" t="s">
        <v>284</v>
      </c>
      <c r="N45" t="s">
        <v>284</v>
      </c>
      <c r="O45" t="s">
        <v>284</v>
      </c>
      <c r="P45" t="s">
        <v>284</v>
      </c>
      <c r="Q45" t="s">
        <v>284</v>
      </c>
    </row>
    <row r="46" spans="1:17" x14ac:dyDescent="0.2">
      <c r="A46" t="s">
        <v>339</v>
      </c>
      <c r="B46" t="s">
        <v>340</v>
      </c>
      <c r="C46" t="s">
        <v>143</v>
      </c>
      <c r="D46" t="s">
        <v>284</v>
      </c>
      <c r="E46" t="s">
        <v>284</v>
      </c>
      <c r="F46" t="s">
        <v>284</v>
      </c>
      <c r="G46" t="s">
        <v>284</v>
      </c>
      <c r="H46" t="s">
        <v>304</v>
      </c>
      <c r="I46">
        <v>46.13</v>
      </c>
      <c r="J46">
        <v>5.77</v>
      </c>
      <c r="K46" t="s">
        <v>341</v>
      </c>
      <c r="L46">
        <v>291.14999999999998</v>
      </c>
      <c r="M46" t="s">
        <v>284</v>
      </c>
      <c r="N46" t="s">
        <v>284</v>
      </c>
      <c r="O46" t="s">
        <v>284</v>
      </c>
      <c r="P46" t="s">
        <v>284</v>
      </c>
      <c r="Q46" t="s">
        <v>284</v>
      </c>
    </row>
    <row r="47" spans="1:17" x14ac:dyDescent="0.2">
      <c r="A47" t="s">
        <v>342</v>
      </c>
      <c r="B47" t="s">
        <v>343</v>
      </c>
      <c r="C47" t="s">
        <v>144</v>
      </c>
      <c r="D47" t="s">
        <v>284</v>
      </c>
      <c r="E47" t="s">
        <v>284</v>
      </c>
      <c r="F47" t="s">
        <v>284</v>
      </c>
      <c r="G47" t="s">
        <v>284</v>
      </c>
      <c r="H47" t="s">
        <v>314</v>
      </c>
      <c r="I47" t="s">
        <v>284</v>
      </c>
      <c r="J47" t="s">
        <v>284</v>
      </c>
      <c r="K47" t="s">
        <v>284</v>
      </c>
      <c r="L47">
        <v>178.07</v>
      </c>
      <c r="M47" t="s">
        <v>284</v>
      </c>
      <c r="N47" t="s">
        <v>284</v>
      </c>
      <c r="O47" t="s">
        <v>284</v>
      </c>
      <c r="P47" t="s">
        <v>284</v>
      </c>
      <c r="Q47" t="s">
        <v>284</v>
      </c>
    </row>
    <row r="48" spans="1:17" x14ac:dyDescent="0.2">
      <c r="A48" t="s">
        <v>344</v>
      </c>
      <c r="B48" t="s">
        <v>345</v>
      </c>
      <c r="C48" t="s">
        <v>145</v>
      </c>
      <c r="D48" t="s">
        <v>284</v>
      </c>
      <c r="E48" t="s">
        <v>284</v>
      </c>
      <c r="F48" t="s">
        <v>284</v>
      </c>
      <c r="G48" t="s">
        <v>284</v>
      </c>
      <c r="H48" t="s">
        <v>284</v>
      </c>
      <c r="I48">
        <v>31.76</v>
      </c>
      <c r="J48">
        <v>14.94</v>
      </c>
      <c r="K48">
        <v>2.02</v>
      </c>
      <c r="L48">
        <v>984.21</v>
      </c>
      <c r="M48" t="s">
        <v>284</v>
      </c>
      <c r="N48" t="s">
        <v>284</v>
      </c>
      <c r="O48" t="s">
        <v>284</v>
      </c>
      <c r="P48" t="s">
        <v>284</v>
      </c>
      <c r="Q48" t="s">
        <v>284</v>
      </c>
    </row>
    <row r="49" spans="1:17" x14ac:dyDescent="0.2">
      <c r="A49" t="s">
        <v>346</v>
      </c>
      <c r="B49" t="s">
        <v>347</v>
      </c>
      <c r="C49" t="s">
        <v>146</v>
      </c>
      <c r="D49" t="s">
        <v>284</v>
      </c>
      <c r="E49" t="s">
        <v>284</v>
      </c>
      <c r="F49" t="s">
        <v>284</v>
      </c>
      <c r="G49" t="s">
        <v>284</v>
      </c>
      <c r="H49" t="s">
        <v>314</v>
      </c>
      <c r="I49">
        <v>14.12</v>
      </c>
      <c r="J49" t="s">
        <v>333</v>
      </c>
      <c r="K49" t="s">
        <v>284</v>
      </c>
      <c r="L49">
        <v>401.64</v>
      </c>
      <c r="M49" t="s">
        <v>284</v>
      </c>
      <c r="N49" t="s">
        <v>284</v>
      </c>
      <c r="O49" t="s">
        <v>284</v>
      </c>
      <c r="P49" t="s">
        <v>284</v>
      </c>
      <c r="Q49" t="s">
        <v>284</v>
      </c>
    </row>
    <row r="50" spans="1:17" x14ac:dyDescent="0.2">
      <c r="A50" t="s">
        <v>348</v>
      </c>
      <c r="B50" t="s">
        <v>349</v>
      </c>
      <c r="C50" t="s">
        <v>147</v>
      </c>
      <c r="D50" t="s">
        <v>284</v>
      </c>
      <c r="E50" t="s">
        <v>284</v>
      </c>
      <c r="F50" t="s">
        <v>284</v>
      </c>
      <c r="G50" t="s">
        <v>284</v>
      </c>
      <c r="H50" t="s">
        <v>314</v>
      </c>
      <c r="I50" t="s">
        <v>284</v>
      </c>
      <c r="J50">
        <v>68.28</v>
      </c>
      <c r="K50" t="s">
        <v>284</v>
      </c>
      <c r="L50">
        <v>966.84</v>
      </c>
      <c r="M50" t="s">
        <v>284</v>
      </c>
      <c r="N50" t="s">
        <v>350</v>
      </c>
      <c r="O50" t="s">
        <v>284</v>
      </c>
      <c r="P50" t="s">
        <v>284</v>
      </c>
      <c r="Q50" t="s">
        <v>284</v>
      </c>
    </row>
    <row r="51" spans="1:17" x14ac:dyDescent="0.2">
      <c r="A51" t="s">
        <v>351</v>
      </c>
      <c r="B51" t="s">
        <v>352</v>
      </c>
      <c r="C51" t="s">
        <v>148</v>
      </c>
      <c r="D51" t="s">
        <v>284</v>
      </c>
      <c r="E51" t="s">
        <v>284</v>
      </c>
      <c r="F51" t="s">
        <v>284</v>
      </c>
      <c r="G51" t="s">
        <v>284</v>
      </c>
      <c r="H51" t="s">
        <v>284</v>
      </c>
      <c r="I51" t="s">
        <v>284</v>
      </c>
      <c r="J51">
        <v>8.52</v>
      </c>
      <c r="K51" t="s">
        <v>284</v>
      </c>
      <c r="L51">
        <v>760.45</v>
      </c>
      <c r="M51" t="s">
        <v>284</v>
      </c>
      <c r="N51" t="s">
        <v>284</v>
      </c>
      <c r="O51" t="s">
        <v>284</v>
      </c>
      <c r="P51" t="s">
        <v>284</v>
      </c>
      <c r="Q51" t="s">
        <v>284</v>
      </c>
    </row>
    <row r="52" spans="1:17" x14ac:dyDescent="0.2">
      <c r="A52" t="s">
        <v>353</v>
      </c>
      <c r="B52" t="s">
        <v>354</v>
      </c>
      <c r="C52" t="s">
        <v>149</v>
      </c>
      <c r="D52" t="s">
        <v>284</v>
      </c>
      <c r="E52" t="s">
        <v>284</v>
      </c>
      <c r="F52" t="s">
        <v>284</v>
      </c>
      <c r="G52" t="s">
        <v>284</v>
      </c>
      <c r="H52" t="s">
        <v>284</v>
      </c>
      <c r="I52" t="s">
        <v>284</v>
      </c>
      <c r="J52" t="s">
        <v>355</v>
      </c>
      <c r="K52" t="s">
        <v>284</v>
      </c>
      <c r="L52">
        <v>553.75</v>
      </c>
      <c r="M52" t="s">
        <v>284</v>
      </c>
      <c r="N52" t="s">
        <v>284</v>
      </c>
      <c r="O52" t="s">
        <v>284</v>
      </c>
      <c r="P52" t="s">
        <v>284</v>
      </c>
      <c r="Q52" t="s">
        <v>284</v>
      </c>
    </row>
    <row r="53" spans="1:17" x14ac:dyDescent="0.2">
      <c r="A53" t="s">
        <v>356</v>
      </c>
      <c r="B53" t="s">
        <v>357</v>
      </c>
      <c r="C53" t="s">
        <v>150</v>
      </c>
      <c r="D53" t="s">
        <v>284</v>
      </c>
      <c r="E53" t="s">
        <v>284</v>
      </c>
      <c r="F53" t="s">
        <v>284</v>
      </c>
      <c r="G53" t="s">
        <v>284</v>
      </c>
      <c r="H53" t="s">
        <v>314</v>
      </c>
      <c r="I53">
        <v>148.62</v>
      </c>
      <c r="J53">
        <v>34.6</v>
      </c>
      <c r="K53">
        <v>195.65</v>
      </c>
      <c r="L53">
        <v>2079.09</v>
      </c>
      <c r="M53" t="s">
        <v>284</v>
      </c>
      <c r="N53" t="s">
        <v>284</v>
      </c>
      <c r="O53" t="s">
        <v>284</v>
      </c>
      <c r="P53" t="s">
        <v>284</v>
      </c>
      <c r="Q53" t="s">
        <v>284</v>
      </c>
    </row>
    <row r="54" spans="1:17" x14ac:dyDescent="0.2">
      <c r="A54" t="s">
        <v>358</v>
      </c>
      <c r="B54" t="s">
        <v>359</v>
      </c>
      <c r="C54" t="s">
        <v>151</v>
      </c>
      <c r="D54" t="s">
        <v>284</v>
      </c>
      <c r="E54" t="s">
        <v>284</v>
      </c>
      <c r="F54" t="s">
        <v>284</v>
      </c>
      <c r="G54" t="s">
        <v>284</v>
      </c>
      <c r="H54">
        <v>9.36</v>
      </c>
      <c r="I54">
        <v>36.630000000000003</v>
      </c>
      <c r="J54">
        <v>123.52</v>
      </c>
      <c r="K54">
        <v>32.6</v>
      </c>
      <c r="L54">
        <v>2612.85</v>
      </c>
      <c r="M54" t="s">
        <v>284</v>
      </c>
      <c r="N54" t="s">
        <v>284</v>
      </c>
      <c r="O54" t="s">
        <v>284</v>
      </c>
      <c r="P54" t="s">
        <v>284</v>
      </c>
      <c r="Q54" t="s">
        <v>284</v>
      </c>
    </row>
    <row r="55" spans="1:17" x14ac:dyDescent="0.2">
      <c r="A55" t="s">
        <v>360</v>
      </c>
      <c r="B55" t="s">
        <v>361</v>
      </c>
      <c r="C55" t="s">
        <v>152</v>
      </c>
      <c r="D55" t="s">
        <v>284</v>
      </c>
      <c r="E55" t="s">
        <v>284</v>
      </c>
      <c r="F55" t="s">
        <v>284</v>
      </c>
      <c r="G55" t="s">
        <v>284</v>
      </c>
      <c r="H55">
        <v>9.36</v>
      </c>
      <c r="I55">
        <v>645.66999999999996</v>
      </c>
      <c r="J55">
        <v>38.44</v>
      </c>
      <c r="K55">
        <v>22.74</v>
      </c>
      <c r="L55">
        <v>391.24</v>
      </c>
      <c r="M55" t="s">
        <v>284</v>
      </c>
      <c r="N55" t="s">
        <v>284</v>
      </c>
      <c r="O55" t="s">
        <v>284</v>
      </c>
      <c r="P55" t="s">
        <v>284</v>
      </c>
      <c r="Q55" t="s">
        <v>284</v>
      </c>
    </row>
    <row r="56" spans="1:17" x14ac:dyDescent="0.2">
      <c r="A56" t="s">
        <v>362</v>
      </c>
      <c r="B56" t="s">
        <v>363</v>
      </c>
      <c r="C56" t="s">
        <v>153</v>
      </c>
      <c r="D56" t="s">
        <v>284</v>
      </c>
      <c r="E56" t="s">
        <v>284</v>
      </c>
      <c r="F56" t="s">
        <v>284</v>
      </c>
      <c r="G56" t="s">
        <v>284</v>
      </c>
      <c r="H56" t="s">
        <v>284</v>
      </c>
      <c r="I56">
        <v>59.92</v>
      </c>
      <c r="J56">
        <v>44.69</v>
      </c>
      <c r="K56">
        <v>18.989999999999998</v>
      </c>
      <c r="L56">
        <v>1411.33</v>
      </c>
      <c r="M56" t="s">
        <v>284</v>
      </c>
      <c r="N56" t="s">
        <v>284</v>
      </c>
      <c r="O56" t="s">
        <v>284</v>
      </c>
      <c r="P56" t="s">
        <v>284</v>
      </c>
      <c r="Q56" t="s">
        <v>284</v>
      </c>
    </row>
    <row r="57" spans="1:17" x14ac:dyDescent="0.2">
      <c r="A57" t="s">
        <v>364</v>
      </c>
      <c r="B57" t="s">
        <v>365</v>
      </c>
      <c r="C57" t="s">
        <v>154</v>
      </c>
      <c r="D57" t="s">
        <v>284</v>
      </c>
      <c r="E57" t="s">
        <v>284</v>
      </c>
      <c r="F57" t="s">
        <v>284</v>
      </c>
      <c r="G57" t="s">
        <v>284</v>
      </c>
      <c r="H57" t="s">
        <v>284</v>
      </c>
      <c r="I57">
        <v>32.46</v>
      </c>
      <c r="J57">
        <v>9.42</v>
      </c>
      <c r="K57" t="s">
        <v>284</v>
      </c>
      <c r="L57">
        <v>1058.3800000000001</v>
      </c>
      <c r="M57" t="s">
        <v>284</v>
      </c>
      <c r="N57" t="s">
        <v>284</v>
      </c>
      <c r="O57" t="s">
        <v>284</v>
      </c>
      <c r="P57" t="s">
        <v>284</v>
      </c>
      <c r="Q57" t="s">
        <v>284</v>
      </c>
    </row>
    <row r="58" spans="1:17" x14ac:dyDescent="0.2">
      <c r="A58" t="s">
        <v>366</v>
      </c>
      <c r="B58" t="s">
        <v>367</v>
      </c>
      <c r="C58" t="s">
        <v>155</v>
      </c>
      <c r="D58" t="s">
        <v>284</v>
      </c>
      <c r="E58" t="s">
        <v>284</v>
      </c>
      <c r="F58" t="s">
        <v>284</v>
      </c>
      <c r="G58" t="s">
        <v>284</v>
      </c>
      <c r="H58" t="s">
        <v>304</v>
      </c>
      <c r="I58" t="s">
        <v>284</v>
      </c>
      <c r="J58" t="s">
        <v>368</v>
      </c>
      <c r="K58" t="s">
        <v>284</v>
      </c>
      <c r="L58">
        <v>294.93</v>
      </c>
      <c r="M58" t="s">
        <v>284</v>
      </c>
      <c r="N58" t="s">
        <v>284</v>
      </c>
      <c r="O58" t="s">
        <v>284</v>
      </c>
      <c r="P58" t="s">
        <v>284</v>
      </c>
      <c r="Q58" t="s">
        <v>284</v>
      </c>
    </row>
    <row r="59" spans="1:17" x14ac:dyDescent="0.2">
      <c r="A59" t="s">
        <v>369</v>
      </c>
      <c r="B59" t="s">
        <v>370</v>
      </c>
      <c r="C59" t="s">
        <v>156</v>
      </c>
      <c r="D59" t="s">
        <v>284</v>
      </c>
      <c r="E59" t="s">
        <v>284</v>
      </c>
      <c r="F59" t="s">
        <v>284</v>
      </c>
      <c r="G59" t="s">
        <v>284</v>
      </c>
      <c r="H59" t="s">
        <v>284</v>
      </c>
      <c r="I59">
        <v>36.630000000000003</v>
      </c>
      <c r="J59">
        <v>12.03</v>
      </c>
      <c r="K59" t="s">
        <v>284</v>
      </c>
      <c r="L59">
        <v>362.9</v>
      </c>
      <c r="M59" t="s">
        <v>284</v>
      </c>
      <c r="N59" t="s">
        <v>284</v>
      </c>
      <c r="O59" t="s">
        <v>284</v>
      </c>
      <c r="P59" t="s">
        <v>284</v>
      </c>
      <c r="Q59" t="s">
        <v>284</v>
      </c>
    </row>
    <row r="60" spans="1:17" x14ac:dyDescent="0.2">
      <c r="A60" t="s">
        <v>371</v>
      </c>
      <c r="B60" t="s">
        <v>372</v>
      </c>
      <c r="C60" t="s">
        <v>157</v>
      </c>
      <c r="D60" t="s">
        <v>284</v>
      </c>
      <c r="E60" t="s">
        <v>284</v>
      </c>
      <c r="F60" t="s">
        <v>284</v>
      </c>
      <c r="G60" t="s">
        <v>284</v>
      </c>
      <c r="H60" t="s">
        <v>304</v>
      </c>
      <c r="I60">
        <v>183.71</v>
      </c>
      <c r="J60">
        <v>14.13</v>
      </c>
      <c r="K60" t="s">
        <v>373</v>
      </c>
      <c r="L60">
        <v>290.2</v>
      </c>
      <c r="M60" t="s">
        <v>284</v>
      </c>
      <c r="N60" t="s">
        <v>284</v>
      </c>
      <c r="O60" t="s">
        <v>284</v>
      </c>
      <c r="P60" t="s">
        <v>284</v>
      </c>
      <c r="Q60" t="s">
        <v>284</v>
      </c>
    </row>
    <row r="61" spans="1:17" x14ac:dyDescent="0.2">
      <c r="A61" t="s">
        <v>374</v>
      </c>
      <c r="B61" t="s">
        <v>375</v>
      </c>
      <c r="C61" t="s">
        <v>158</v>
      </c>
      <c r="D61" t="s">
        <v>284</v>
      </c>
      <c r="E61" t="s">
        <v>284</v>
      </c>
      <c r="F61" t="s">
        <v>284</v>
      </c>
      <c r="G61" t="s">
        <v>284</v>
      </c>
      <c r="H61" t="s">
        <v>284</v>
      </c>
      <c r="I61">
        <v>63.78</v>
      </c>
      <c r="J61">
        <v>23.43</v>
      </c>
      <c r="K61" t="s">
        <v>376</v>
      </c>
      <c r="L61">
        <v>646.19000000000005</v>
      </c>
      <c r="M61" t="s">
        <v>284</v>
      </c>
      <c r="N61" t="s">
        <v>284</v>
      </c>
      <c r="O61" t="s">
        <v>284</v>
      </c>
      <c r="P61" t="s">
        <v>284</v>
      </c>
      <c r="Q61" t="s">
        <v>284</v>
      </c>
    </row>
    <row r="62" spans="1:17" x14ac:dyDescent="0.2">
      <c r="A62" t="s">
        <v>377</v>
      </c>
      <c r="B62" t="s">
        <v>378</v>
      </c>
      <c r="C62" t="s">
        <v>159</v>
      </c>
      <c r="D62" t="s">
        <v>284</v>
      </c>
      <c r="E62" t="s">
        <v>284</v>
      </c>
      <c r="F62" t="s">
        <v>284</v>
      </c>
      <c r="G62" t="s">
        <v>284</v>
      </c>
      <c r="H62" t="s">
        <v>304</v>
      </c>
      <c r="I62">
        <v>591.79</v>
      </c>
      <c r="J62">
        <v>152.01</v>
      </c>
      <c r="K62">
        <v>320.95</v>
      </c>
      <c r="L62">
        <v>2976.73</v>
      </c>
      <c r="M62" t="s">
        <v>284</v>
      </c>
      <c r="N62" t="s">
        <v>284</v>
      </c>
      <c r="O62" t="s">
        <v>284</v>
      </c>
      <c r="P62" t="s">
        <v>284</v>
      </c>
      <c r="Q62" t="s">
        <v>284</v>
      </c>
    </row>
    <row r="63" spans="1:17" x14ac:dyDescent="0.2">
      <c r="A63" t="s">
        <v>379</v>
      </c>
      <c r="B63" t="s">
        <v>380</v>
      </c>
      <c r="C63" t="s">
        <v>160</v>
      </c>
      <c r="D63" t="s">
        <v>284</v>
      </c>
      <c r="E63" t="s">
        <v>284</v>
      </c>
      <c r="F63" t="s">
        <v>284</v>
      </c>
      <c r="G63" t="s">
        <v>284</v>
      </c>
      <c r="H63" t="s">
        <v>314</v>
      </c>
      <c r="I63">
        <v>17.2</v>
      </c>
      <c r="J63">
        <v>17.510000000000002</v>
      </c>
      <c r="K63">
        <v>3.88</v>
      </c>
      <c r="L63">
        <v>867.75</v>
      </c>
      <c r="M63" t="s">
        <v>284</v>
      </c>
      <c r="N63" t="s">
        <v>284</v>
      </c>
      <c r="O63" t="s">
        <v>284</v>
      </c>
      <c r="P63" t="s">
        <v>284</v>
      </c>
      <c r="Q63" t="s">
        <v>284</v>
      </c>
    </row>
    <row r="64" spans="1:17" x14ac:dyDescent="0.2">
      <c r="A64" t="s">
        <v>381</v>
      </c>
      <c r="B64" t="s">
        <v>382</v>
      </c>
      <c r="C64" t="s">
        <v>161</v>
      </c>
      <c r="D64" t="s">
        <v>284</v>
      </c>
      <c r="E64" t="s">
        <v>284</v>
      </c>
      <c r="F64" t="s">
        <v>284</v>
      </c>
      <c r="G64" t="s">
        <v>284</v>
      </c>
      <c r="H64">
        <v>9.36</v>
      </c>
      <c r="I64">
        <v>91.91</v>
      </c>
      <c r="J64">
        <v>21.35</v>
      </c>
      <c r="K64">
        <v>2.52</v>
      </c>
      <c r="L64">
        <v>415.83</v>
      </c>
      <c r="M64" t="s">
        <v>284</v>
      </c>
      <c r="N64" t="s">
        <v>284</v>
      </c>
      <c r="O64" t="s">
        <v>284</v>
      </c>
      <c r="P64" t="s">
        <v>284</v>
      </c>
      <c r="Q64" t="s">
        <v>284</v>
      </c>
    </row>
    <row r="65" spans="1:17" x14ac:dyDescent="0.2">
      <c r="A65" t="s">
        <v>383</v>
      </c>
      <c r="B65" t="s">
        <v>384</v>
      </c>
      <c r="C65" t="s">
        <v>162</v>
      </c>
      <c r="D65" t="s">
        <v>284</v>
      </c>
      <c r="E65" t="s">
        <v>284</v>
      </c>
      <c r="F65" t="s">
        <v>284</v>
      </c>
      <c r="G65" t="s">
        <v>284</v>
      </c>
      <c r="H65" t="s">
        <v>284</v>
      </c>
      <c r="I65">
        <v>99.21</v>
      </c>
      <c r="J65">
        <v>16.55</v>
      </c>
      <c r="K65" t="s">
        <v>385</v>
      </c>
      <c r="L65">
        <v>784.13</v>
      </c>
      <c r="M65" t="s">
        <v>284</v>
      </c>
      <c r="N65" t="s">
        <v>284</v>
      </c>
      <c r="O65" t="s">
        <v>284</v>
      </c>
      <c r="P65" t="s">
        <v>284</v>
      </c>
      <c r="Q65" t="s">
        <v>284</v>
      </c>
    </row>
    <row r="66" spans="1:17" x14ac:dyDescent="0.2">
      <c r="A66" t="s">
        <v>386</v>
      </c>
      <c r="B66" t="s">
        <v>387</v>
      </c>
      <c r="C66" t="s">
        <v>163</v>
      </c>
      <c r="D66" t="s">
        <v>284</v>
      </c>
      <c r="E66" t="s">
        <v>284</v>
      </c>
      <c r="F66" t="s">
        <v>284</v>
      </c>
      <c r="G66" t="s">
        <v>284</v>
      </c>
      <c r="H66" t="s">
        <v>290</v>
      </c>
      <c r="I66">
        <v>27.51</v>
      </c>
      <c r="J66">
        <v>6.61</v>
      </c>
      <c r="K66" t="s">
        <v>284</v>
      </c>
      <c r="L66">
        <v>429.08</v>
      </c>
      <c r="M66" t="s">
        <v>284</v>
      </c>
      <c r="N66" t="s">
        <v>284</v>
      </c>
      <c r="O66" t="s">
        <v>284</v>
      </c>
      <c r="P66" t="s">
        <v>284</v>
      </c>
      <c r="Q66" t="s">
        <v>284</v>
      </c>
    </row>
    <row r="67" spans="1:17" x14ac:dyDescent="0.2">
      <c r="A67" t="s">
        <v>388</v>
      </c>
      <c r="B67" t="s">
        <v>389</v>
      </c>
      <c r="C67" t="s">
        <v>164</v>
      </c>
      <c r="D67" t="s">
        <v>284</v>
      </c>
      <c r="E67" t="s">
        <v>284</v>
      </c>
      <c r="F67" t="s">
        <v>284</v>
      </c>
      <c r="G67" t="s">
        <v>284</v>
      </c>
      <c r="H67" t="s">
        <v>314</v>
      </c>
      <c r="I67">
        <v>84.53</v>
      </c>
      <c r="J67">
        <v>22.95</v>
      </c>
      <c r="K67" t="s">
        <v>390</v>
      </c>
      <c r="L67">
        <v>288.31</v>
      </c>
      <c r="M67" t="s">
        <v>284</v>
      </c>
      <c r="N67" t="s">
        <v>284</v>
      </c>
      <c r="O67" t="s">
        <v>284</v>
      </c>
      <c r="P67" t="s">
        <v>284</v>
      </c>
      <c r="Q67" t="s">
        <v>284</v>
      </c>
    </row>
    <row r="68" spans="1:17" x14ac:dyDescent="0.2">
      <c r="A68" t="s">
        <v>391</v>
      </c>
      <c r="B68" t="s">
        <v>392</v>
      </c>
      <c r="C68" t="s">
        <v>165</v>
      </c>
      <c r="D68" t="s">
        <v>284</v>
      </c>
      <c r="E68" t="s">
        <v>284</v>
      </c>
      <c r="F68" t="s">
        <v>284</v>
      </c>
      <c r="G68" t="s">
        <v>284</v>
      </c>
      <c r="H68" t="s">
        <v>284</v>
      </c>
      <c r="I68">
        <v>11.75</v>
      </c>
      <c r="J68">
        <v>3.21</v>
      </c>
      <c r="K68" t="s">
        <v>393</v>
      </c>
      <c r="L68">
        <v>277.92</v>
      </c>
      <c r="M68" t="s">
        <v>284</v>
      </c>
      <c r="N68" t="s">
        <v>284</v>
      </c>
      <c r="O68" t="s">
        <v>284</v>
      </c>
      <c r="P68" t="s">
        <v>284</v>
      </c>
      <c r="Q68" t="s">
        <v>284</v>
      </c>
    </row>
    <row r="69" spans="1:17" x14ac:dyDescent="0.2">
      <c r="A69" t="s">
        <v>394</v>
      </c>
      <c r="B69" t="s">
        <v>395</v>
      </c>
      <c r="C69" t="s">
        <v>166</v>
      </c>
      <c r="D69" t="s">
        <v>284</v>
      </c>
      <c r="E69" t="s">
        <v>284</v>
      </c>
      <c r="F69" t="s">
        <v>284</v>
      </c>
      <c r="G69" t="s">
        <v>284</v>
      </c>
      <c r="H69" t="s">
        <v>284</v>
      </c>
      <c r="I69">
        <v>35.94</v>
      </c>
      <c r="J69">
        <v>37.4</v>
      </c>
      <c r="K69" t="s">
        <v>297</v>
      </c>
      <c r="L69">
        <v>459.41</v>
      </c>
      <c r="M69" t="s">
        <v>284</v>
      </c>
      <c r="N69" t="s">
        <v>284</v>
      </c>
      <c r="O69" t="s">
        <v>284</v>
      </c>
      <c r="P69" t="s">
        <v>284</v>
      </c>
      <c r="Q69" t="s">
        <v>284</v>
      </c>
    </row>
    <row r="70" spans="1:17" x14ac:dyDescent="0.2">
      <c r="A70" t="s">
        <v>396</v>
      </c>
      <c r="B70" t="s">
        <v>397</v>
      </c>
      <c r="C70" t="s">
        <v>167</v>
      </c>
      <c r="D70" t="s">
        <v>284</v>
      </c>
      <c r="E70" t="s">
        <v>284</v>
      </c>
      <c r="F70" t="s">
        <v>284</v>
      </c>
      <c r="G70" t="s">
        <v>284</v>
      </c>
      <c r="H70" t="s">
        <v>314</v>
      </c>
      <c r="I70" t="s">
        <v>398</v>
      </c>
      <c r="J70">
        <v>13.49</v>
      </c>
      <c r="K70">
        <v>1.64</v>
      </c>
      <c r="L70">
        <v>455.61</v>
      </c>
      <c r="M70" t="s">
        <v>284</v>
      </c>
      <c r="N70" t="s">
        <v>284</v>
      </c>
      <c r="O70" t="s">
        <v>284</v>
      </c>
      <c r="P70" t="s">
        <v>284</v>
      </c>
      <c r="Q70" t="s">
        <v>284</v>
      </c>
    </row>
    <row r="71" spans="1:17" x14ac:dyDescent="0.2">
      <c r="A71" t="s">
        <v>399</v>
      </c>
      <c r="B71" t="s">
        <v>400</v>
      </c>
      <c r="C71" t="s">
        <v>168</v>
      </c>
      <c r="D71" t="s">
        <v>284</v>
      </c>
      <c r="E71" t="s">
        <v>284</v>
      </c>
      <c r="F71" t="s">
        <v>284</v>
      </c>
      <c r="G71" t="s">
        <v>284</v>
      </c>
      <c r="H71" t="s">
        <v>401</v>
      </c>
      <c r="I71">
        <v>16.440000000000001</v>
      </c>
      <c r="J71" t="s">
        <v>402</v>
      </c>
      <c r="K71" t="s">
        <v>284</v>
      </c>
      <c r="L71">
        <v>87.27</v>
      </c>
      <c r="M71" t="s">
        <v>284</v>
      </c>
      <c r="N71" t="s">
        <v>284</v>
      </c>
      <c r="O71" t="s">
        <v>284</v>
      </c>
      <c r="P71" t="s">
        <v>284</v>
      </c>
      <c r="Q71" t="s">
        <v>284</v>
      </c>
    </row>
    <row r="72" spans="1:17" x14ac:dyDescent="0.2">
      <c r="A72" t="s">
        <v>403</v>
      </c>
      <c r="B72" t="s">
        <v>404</v>
      </c>
      <c r="C72" t="s">
        <v>169</v>
      </c>
      <c r="D72" t="s">
        <v>284</v>
      </c>
      <c r="E72" t="s">
        <v>284</v>
      </c>
      <c r="F72" t="s">
        <v>284</v>
      </c>
      <c r="G72" t="s">
        <v>284</v>
      </c>
      <c r="H72" t="s">
        <v>405</v>
      </c>
      <c r="I72">
        <v>46.79</v>
      </c>
      <c r="J72">
        <v>2.59</v>
      </c>
      <c r="K72" t="s">
        <v>284</v>
      </c>
      <c r="L72">
        <v>179.03</v>
      </c>
      <c r="M72" t="s">
        <v>284</v>
      </c>
      <c r="N72" t="s">
        <v>284</v>
      </c>
      <c r="O72" t="s">
        <v>284</v>
      </c>
      <c r="P72" t="s">
        <v>284</v>
      </c>
      <c r="Q72" t="s">
        <v>284</v>
      </c>
    </row>
    <row r="73" spans="1:17" x14ac:dyDescent="0.2">
      <c r="A73" t="s">
        <v>406</v>
      </c>
      <c r="B73" t="s">
        <v>407</v>
      </c>
      <c r="C73" t="s">
        <v>170</v>
      </c>
      <c r="D73" t="s">
        <v>284</v>
      </c>
      <c r="E73" t="s">
        <v>284</v>
      </c>
      <c r="F73" t="s">
        <v>284</v>
      </c>
      <c r="G73" t="s">
        <v>284</v>
      </c>
      <c r="H73" t="s">
        <v>284</v>
      </c>
      <c r="I73">
        <v>64.099999999999994</v>
      </c>
      <c r="J73">
        <v>4.46</v>
      </c>
      <c r="K73" t="s">
        <v>393</v>
      </c>
      <c r="L73">
        <v>244.31</v>
      </c>
      <c r="M73" t="s">
        <v>284</v>
      </c>
      <c r="N73" t="s">
        <v>284</v>
      </c>
      <c r="O73" t="s">
        <v>284</v>
      </c>
      <c r="P73" t="s">
        <v>284</v>
      </c>
      <c r="Q73" t="s">
        <v>284</v>
      </c>
    </row>
    <row r="74" spans="1:17" x14ac:dyDescent="0.2">
      <c r="A74" t="s">
        <v>408</v>
      </c>
      <c r="B74" t="s">
        <v>409</v>
      </c>
      <c r="C74" t="s">
        <v>171</v>
      </c>
      <c r="D74" t="s">
        <v>284</v>
      </c>
      <c r="E74" t="s">
        <v>284</v>
      </c>
      <c r="F74" t="s">
        <v>284</v>
      </c>
      <c r="G74" t="s">
        <v>284</v>
      </c>
      <c r="H74" t="s">
        <v>314</v>
      </c>
      <c r="I74">
        <v>39.369999999999997</v>
      </c>
      <c r="J74">
        <v>11.18</v>
      </c>
      <c r="K74">
        <v>9.36</v>
      </c>
      <c r="L74">
        <v>516.48</v>
      </c>
      <c r="M74" t="s">
        <v>284</v>
      </c>
      <c r="N74" t="s">
        <v>284</v>
      </c>
      <c r="O74" t="s">
        <v>284</v>
      </c>
      <c r="P74" t="s">
        <v>284</v>
      </c>
      <c r="Q74" t="s">
        <v>284</v>
      </c>
    </row>
    <row r="75" spans="1:17" x14ac:dyDescent="0.2">
      <c r="A75" t="s">
        <v>410</v>
      </c>
      <c r="B75" t="s">
        <v>411</v>
      </c>
      <c r="C75" t="s">
        <v>172</v>
      </c>
      <c r="D75" t="s">
        <v>284</v>
      </c>
      <c r="E75" t="s">
        <v>284</v>
      </c>
      <c r="F75" t="s">
        <v>284</v>
      </c>
      <c r="G75" t="s">
        <v>284</v>
      </c>
      <c r="H75" t="s">
        <v>284</v>
      </c>
      <c r="I75" t="s">
        <v>284</v>
      </c>
      <c r="J75" t="s">
        <v>284</v>
      </c>
      <c r="K75" t="s">
        <v>284</v>
      </c>
      <c r="L75">
        <v>119.46</v>
      </c>
      <c r="M75" t="s">
        <v>284</v>
      </c>
      <c r="N75" t="s">
        <v>284</v>
      </c>
      <c r="O75" t="s">
        <v>284</v>
      </c>
      <c r="P75" t="s">
        <v>284</v>
      </c>
      <c r="Q75" t="s">
        <v>284</v>
      </c>
    </row>
    <row r="76" spans="1:17" x14ac:dyDescent="0.2">
      <c r="A76" t="s">
        <v>412</v>
      </c>
      <c r="B76" t="s">
        <v>413</v>
      </c>
      <c r="C76" t="s">
        <v>173</v>
      </c>
      <c r="D76">
        <v>170.49</v>
      </c>
      <c r="E76" t="s">
        <v>284</v>
      </c>
      <c r="F76" t="s">
        <v>284</v>
      </c>
      <c r="G76" t="s">
        <v>284</v>
      </c>
      <c r="H76" t="s">
        <v>284</v>
      </c>
      <c r="I76">
        <v>51.44</v>
      </c>
      <c r="J76">
        <v>18.43</v>
      </c>
      <c r="K76">
        <v>9</v>
      </c>
      <c r="L76">
        <v>658.3</v>
      </c>
      <c r="M76" t="s">
        <v>284</v>
      </c>
      <c r="N76" t="s">
        <v>284</v>
      </c>
      <c r="O76" t="s">
        <v>284</v>
      </c>
      <c r="P76" t="s">
        <v>284</v>
      </c>
      <c r="Q76" t="s">
        <v>284</v>
      </c>
    </row>
    <row r="77" spans="1:17" x14ac:dyDescent="0.2">
      <c r="A77" t="s">
        <v>414</v>
      </c>
      <c r="B77" t="s">
        <v>415</v>
      </c>
      <c r="C77" t="s">
        <v>174</v>
      </c>
      <c r="D77">
        <v>95.85</v>
      </c>
      <c r="E77" t="s">
        <v>284</v>
      </c>
      <c r="F77" t="s">
        <v>284</v>
      </c>
      <c r="G77" t="s">
        <v>284</v>
      </c>
      <c r="H77" t="s">
        <v>304</v>
      </c>
      <c r="I77">
        <v>35.590000000000003</v>
      </c>
      <c r="J77">
        <v>12.68</v>
      </c>
      <c r="K77" t="s">
        <v>284</v>
      </c>
      <c r="L77">
        <v>552.79</v>
      </c>
      <c r="M77" t="s">
        <v>284</v>
      </c>
      <c r="N77" t="s">
        <v>284</v>
      </c>
      <c r="O77" t="s">
        <v>284</v>
      </c>
      <c r="P77" t="s">
        <v>284</v>
      </c>
      <c r="Q77" t="s">
        <v>284</v>
      </c>
    </row>
    <row r="78" spans="1:17" x14ac:dyDescent="0.2">
      <c r="A78" t="s">
        <v>416</v>
      </c>
      <c r="B78" t="s">
        <v>417</v>
      </c>
      <c r="C78" t="s">
        <v>175</v>
      </c>
      <c r="D78" t="s">
        <v>418</v>
      </c>
      <c r="E78" t="s">
        <v>284</v>
      </c>
      <c r="F78" t="s">
        <v>284</v>
      </c>
      <c r="G78" t="s">
        <v>284</v>
      </c>
      <c r="H78" t="s">
        <v>284</v>
      </c>
      <c r="I78">
        <v>34.9</v>
      </c>
      <c r="J78">
        <v>146.77000000000001</v>
      </c>
      <c r="K78" t="s">
        <v>284</v>
      </c>
      <c r="L78">
        <v>693.32</v>
      </c>
      <c r="M78" t="s">
        <v>284</v>
      </c>
      <c r="N78" t="s">
        <v>284</v>
      </c>
      <c r="O78" t="s">
        <v>284</v>
      </c>
      <c r="P78" t="s">
        <v>284</v>
      </c>
      <c r="Q78" t="s">
        <v>284</v>
      </c>
    </row>
    <row r="81" spans="1:17" x14ac:dyDescent="0.2">
      <c r="A81" s="7"/>
      <c r="B81" s="7"/>
      <c r="C81" s="7"/>
      <c r="D81" s="7" t="s">
        <v>239</v>
      </c>
      <c r="E81" s="7" t="s">
        <v>240</v>
      </c>
      <c r="F81" s="7" t="s">
        <v>241</v>
      </c>
      <c r="G81" s="7" t="s">
        <v>242</v>
      </c>
      <c r="H81" s="7" t="s">
        <v>243</v>
      </c>
      <c r="I81" s="7" t="s">
        <v>244</v>
      </c>
      <c r="J81" s="7" t="s">
        <v>245</v>
      </c>
      <c r="K81" s="7" t="s">
        <v>246</v>
      </c>
      <c r="L81" s="7" t="s">
        <v>247</v>
      </c>
      <c r="M81" s="7" t="s">
        <v>248</v>
      </c>
      <c r="N81" s="7" t="s">
        <v>249</v>
      </c>
      <c r="O81" s="7" t="s">
        <v>250</v>
      </c>
      <c r="P81" s="7" t="s">
        <v>251</v>
      </c>
      <c r="Q81" s="7" t="s">
        <v>252</v>
      </c>
    </row>
    <row r="82" spans="1:17" x14ac:dyDescent="0.2">
      <c r="A82" s="7" t="s">
        <v>116</v>
      </c>
      <c r="B82" s="7" t="s">
        <v>253</v>
      </c>
      <c r="C82" s="7" t="s">
        <v>254</v>
      </c>
      <c r="D82" s="7" t="s">
        <v>255</v>
      </c>
      <c r="E82" s="7" t="s">
        <v>255</v>
      </c>
      <c r="F82" s="7" t="s">
        <v>255</v>
      </c>
      <c r="G82" s="7" t="s">
        <v>255</v>
      </c>
      <c r="H82" s="7" t="s">
        <v>255</v>
      </c>
      <c r="I82" s="7" t="s">
        <v>255</v>
      </c>
      <c r="J82" s="7" t="s">
        <v>255</v>
      </c>
      <c r="K82" s="7" t="s">
        <v>255</v>
      </c>
      <c r="L82" s="7" t="s">
        <v>255</v>
      </c>
      <c r="M82" s="7" t="s">
        <v>255</v>
      </c>
      <c r="N82" s="7" t="s">
        <v>255</v>
      </c>
      <c r="O82" s="7" t="s">
        <v>255</v>
      </c>
      <c r="P82" s="7" t="s">
        <v>255</v>
      </c>
      <c r="Q82" s="7" t="s">
        <v>255</v>
      </c>
    </row>
    <row r="83" spans="1:17" x14ac:dyDescent="0.2">
      <c r="A83" t="s">
        <v>256</v>
      </c>
      <c r="B83" t="s">
        <v>419</v>
      </c>
    </row>
    <row r="84" spans="1:17" x14ac:dyDescent="0.2">
      <c r="A84" t="s">
        <v>256</v>
      </c>
      <c r="B84" t="s">
        <v>420</v>
      </c>
    </row>
    <row r="85" spans="1:17" x14ac:dyDescent="0.2">
      <c r="A85" t="s">
        <v>258</v>
      </c>
      <c r="B85" t="s">
        <v>421</v>
      </c>
      <c r="E85">
        <v>9753.6</v>
      </c>
      <c r="H85">
        <v>30191.98</v>
      </c>
      <c r="J85">
        <v>8157.86</v>
      </c>
      <c r="K85">
        <v>6327.73</v>
      </c>
      <c r="M85">
        <v>27927.58</v>
      </c>
      <c r="N85">
        <v>15490.17</v>
      </c>
      <c r="P85">
        <v>21700.31</v>
      </c>
    </row>
    <row r="86" spans="1:17" x14ac:dyDescent="0.2">
      <c r="A86" t="s">
        <v>258</v>
      </c>
      <c r="B86" t="s">
        <v>422</v>
      </c>
      <c r="E86" t="s">
        <v>423</v>
      </c>
      <c r="J86" t="s">
        <v>424</v>
      </c>
      <c r="K86" t="s">
        <v>425</v>
      </c>
      <c r="P86" t="s">
        <v>426</v>
      </c>
    </row>
    <row r="87" spans="1:17" x14ac:dyDescent="0.2">
      <c r="A87" t="s">
        <v>260</v>
      </c>
      <c r="B87" t="s">
        <v>274</v>
      </c>
      <c r="D87">
        <v>21220.42</v>
      </c>
      <c r="E87">
        <v>2697.75</v>
      </c>
      <c r="F87">
        <v>7291.69</v>
      </c>
      <c r="G87">
        <v>12245.48</v>
      </c>
      <c r="H87">
        <v>8967.7000000000007</v>
      </c>
      <c r="I87" t="s">
        <v>427</v>
      </c>
      <c r="J87">
        <v>2321.89</v>
      </c>
      <c r="K87">
        <v>1711.84</v>
      </c>
      <c r="L87">
        <v>13116.55</v>
      </c>
      <c r="M87">
        <v>6991.37</v>
      </c>
      <c r="N87">
        <v>3606.44</v>
      </c>
      <c r="P87">
        <v>6957.04</v>
      </c>
    </row>
    <row r="88" spans="1:17" x14ac:dyDescent="0.2">
      <c r="A88" t="s">
        <v>260</v>
      </c>
      <c r="B88" t="s">
        <v>428</v>
      </c>
      <c r="D88" t="s">
        <v>429</v>
      </c>
      <c r="E88">
        <v>2790.49</v>
      </c>
      <c r="F88" t="s">
        <v>430</v>
      </c>
      <c r="G88" t="s">
        <v>431</v>
      </c>
      <c r="H88">
        <v>7965.19</v>
      </c>
      <c r="I88">
        <v>8671.67</v>
      </c>
      <c r="J88">
        <v>2483.87</v>
      </c>
      <c r="K88">
        <v>1621.74</v>
      </c>
      <c r="L88" t="s">
        <v>432</v>
      </c>
      <c r="M88">
        <v>7982.22</v>
      </c>
      <c r="N88">
        <v>3950.8</v>
      </c>
      <c r="P88">
        <v>6256.04</v>
      </c>
      <c r="Q88">
        <v>12210.79</v>
      </c>
    </row>
    <row r="89" spans="1:17" x14ac:dyDescent="0.2">
      <c r="A89" t="s">
        <v>262</v>
      </c>
      <c r="B89" t="s">
        <v>433</v>
      </c>
      <c r="D89">
        <v>5443.26</v>
      </c>
      <c r="E89">
        <v>705.48</v>
      </c>
      <c r="F89">
        <v>1857.83</v>
      </c>
      <c r="G89">
        <v>3537.2</v>
      </c>
      <c r="H89">
        <v>2101.8200000000002</v>
      </c>
      <c r="I89">
        <v>2218.85</v>
      </c>
      <c r="J89">
        <v>579.34</v>
      </c>
      <c r="K89">
        <v>426.9</v>
      </c>
      <c r="L89">
        <v>3610.65</v>
      </c>
      <c r="M89">
        <v>1781.22</v>
      </c>
      <c r="N89">
        <v>955.43</v>
      </c>
      <c r="O89" t="s">
        <v>434</v>
      </c>
      <c r="P89">
        <v>1431.32</v>
      </c>
      <c r="Q89">
        <v>3040.47</v>
      </c>
    </row>
    <row r="90" spans="1:17" x14ac:dyDescent="0.2">
      <c r="A90" t="s">
        <v>262</v>
      </c>
      <c r="B90" t="s">
        <v>435</v>
      </c>
      <c r="D90">
        <v>5177.07</v>
      </c>
      <c r="E90">
        <v>729.29</v>
      </c>
      <c r="F90">
        <v>1839.78</v>
      </c>
      <c r="G90">
        <v>3187.76</v>
      </c>
      <c r="H90">
        <v>1899.58</v>
      </c>
      <c r="I90">
        <v>2230.86</v>
      </c>
      <c r="J90">
        <v>615.98</v>
      </c>
      <c r="K90">
        <v>432.37</v>
      </c>
      <c r="L90">
        <v>3275.77</v>
      </c>
      <c r="M90">
        <v>1718.03</v>
      </c>
      <c r="N90">
        <v>959.45</v>
      </c>
      <c r="O90">
        <v>2698.92</v>
      </c>
      <c r="P90">
        <v>1509.26</v>
      </c>
      <c r="Q90">
        <v>3105.73</v>
      </c>
    </row>
    <row r="91" spans="1:17" x14ac:dyDescent="0.2">
      <c r="A91" t="s">
        <v>264</v>
      </c>
      <c r="B91" t="s">
        <v>436</v>
      </c>
      <c r="D91">
        <v>1299.71</v>
      </c>
      <c r="E91">
        <v>170.81</v>
      </c>
      <c r="F91">
        <v>455.42</v>
      </c>
      <c r="G91">
        <v>821.06</v>
      </c>
      <c r="H91">
        <v>539.98</v>
      </c>
      <c r="I91">
        <v>560.03</v>
      </c>
      <c r="J91">
        <v>148.51</v>
      </c>
      <c r="K91">
        <v>101.48</v>
      </c>
      <c r="L91">
        <v>863.74</v>
      </c>
      <c r="M91">
        <v>461.95</v>
      </c>
      <c r="N91">
        <v>238.12</v>
      </c>
      <c r="O91">
        <v>705.84</v>
      </c>
      <c r="P91">
        <v>383.99</v>
      </c>
      <c r="Q91">
        <v>794.27</v>
      </c>
    </row>
    <row r="92" spans="1:17" x14ac:dyDescent="0.2">
      <c r="A92" t="s">
        <v>264</v>
      </c>
      <c r="B92" t="s">
        <v>437</v>
      </c>
      <c r="D92">
        <v>1406.02</v>
      </c>
      <c r="E92">
        <v>174.06</v>
      </c>
      <c r="F92">
        <v>457.04</v>
      </c>
      <c r="G92">
        <v>844.53</v>
      </c>
      <c r="H92">
        <v>532.87</v>
      </c>
      <c r="I92">
        <v>560.51</v>
      </c>
      <c r="J92">
        <v>154.41</v>
      </c>
      <c r="K92">
        <v>106.05</v>
      </c>
      <c r="L92">
        <v>871.76</v>
      </c>
      <c r="M92">
        <v>473.25</v>
      </c>
      <c r="N92">
        <v>235.89</v>
      </c>
      <c r="O92">
        <v>652.75</v>
      </c>
      <c r="P92">
        <v>401.62</v>
      </c>
      <c r="Q92">
        <v>737.98</v>
      </c>
    </row>
    <row r="93" spans="1:17" x14ac:dyDescent="0.2">
      <c r="A93" t="s">
        <v>266</v>
      </c>
      <c r="B93" t="s">
        <v>438</v>
      </c>
      <c r="D93">
        <v>320.88</v>
      </c>
      <c r="E93">
        <v>42.1</v>
      </c>
      <c r="F93">
        <v>111.39</v>
      </c>
      <c r="H93">
        <v>118.89</v>
      </c>
      <c r="I93">
        <v>131.26</v>
      </c>
      <c r="J93">
        <v>36.36</v>
      </c>
      <c r="K93">
        <v>26.73</v>
      </c>
      <c r="L93">
        <v>221.99</v>
      </c>
      <c r="M93">
        <v>120.52</v>
      </c>
      <c r="P93">
        <v>95.57</v>
      </c>
    </row>
    <row r="94" spans="1:17" x14ac:dyDescent="0.2">
      <c r="A94" t="s">
        <v>266</v>
      </c>
      <c r="B94" t="s">
        <v>439</v>
      </c>
      <c r="D94">
        <v>342.72</v>
      </c>
      <c r="E94">
        <v>45.97</v>
      </c>
      <c r="F94">
        <v>120.36</v>
      </c>
      <c r="G94">
        <v>208.79</v>
      </c>
      <c r="H94">
        <v>126.95</v>
      </c>
      <c r="I94">
        <v>140.56</v>
      </c>
      <c r="J94">
        <v>37.64</v>
      </c>
      <c r="K94">
        <v>26.32</v>
      </c>
      <c r="L94">
        <v>204.85</v>
      </c>
      <c r="M94">
        <v>112.68</v>
      </c>
      <c r="N94">
        <v>58.12</v>
      </c>
      <c r="O94">
        <v>178.99</v>
      </c>
      <c r="P94">
        <v>95.33</v>
      </c>
      <c r="Q94">
        <v>192.3</v>
      </c>
    </row>
    <row r="95" spans="1:17" x14ac:dyDescent="0.2">
      <c r="A95" t="s">
        <v>268</v>
      </c>
      <c r="B95" t="s">
        <v>277</v>
      </c>
      <c r="D95">
        <v>91.16</v>
      </c>
      <c r="E95">
        <v>10.9</v>
      </c>
      <c r="F95">
        <v>32.049999999999997</v>
      </c>
      <c r="G95">
        <v>56.05</v>
      </c>
      <c r="H95">
        <v>32.79</v>
      </c>
      <c r="I95">
        <v>35.94</v>
      </c>
      <c r="J95">
        <v>9.09</v>
      </c>
      <c r="K95">
        <v>6.55</v>
      </c>
      <c r="L95">
        <v>54.67</v>
      </c>
      <c r="M95">
        <v>28.6</v>
      </c>
      <c r="N95">
        <v>14.14</v>
      </c>
      <c r="O95">
        <v>44.35</v>
      </c>
      <c r="P95">
        <v>25.14</v>
      </c>
      <c r="Q95">
        <v>51.57</v>
      </c>
    </row>
    <row r="96" spans="1:17" x14ac:dyDescent="0.2">
      <c r="A96" t="s">
        <v>268</v>
      </c>
      <c r="B96" t="s">
        <v>440</v>
      </c>
      <c r="D96">
        <v>78.42</v>
      </c>
      <c r="F96">
        <v>24.45</v>
      </c>
      <c r="G96">
        <v>49.82</v>
      </c>
      <c r="H96">
        <v>32.79</v>
      </c>
      <c r="J96">
        <v>9.91</v>
      </c>
      <c r="K96">
        <v>6.67</v>
      </c>
      <c r="M96">
        <v>24.53</v>
      </c>
      <c r="N96">
        <v>16.690000000000001</v>
      </c>
      <c r="O96">
        <v>38.200000000000003</v>
      </c>
      <c r="P96">
        <v>23.68</v>
      </c>
      <c r="Q96">
        <v>43.72</v>
      </c>
    </row>
    <row r="97" spans="1:17" x14ac:dyDescent="0.2">
      <c r="A97" t="s">
        <v>270</v>
      </c>
      <c r="B97" t="s">
        <v>441</v>
      </c>
      <c r="D97" t="s">
        <v>442</v>
      </c>
      <c r="F97">
        <v>7.32</v>
      </c>
      <c r="G97">
        <v>12.51</v>
      </c>
      <c r="H97">
        <v>9.36</v>
      </c>
      <c r="I97">
        <v>8.49</v>
      </c>
      <c r="K97" t="s">
        <v>443</v>
      </c>
      <c r="M97">
        <v>7.38</v>
      </c>
      <c r="O97">
        <v>11.38</v>
      </c>
      <c r="P97">
        <v>5.82</v>
      </c>
      <c r="Q97">
        <v>12.09</v>
      </c>
    </row>
    <row r="98" spans="1:17" x14ac:dyDescent="0.2">
      <c r="A98" t="s">
        <v>270</v>
      </c>
      <c r="B98" t="s">
        <v>444</v>
      </c>
      <c r="D98">
        <v>24.91</v>
      </c>
      <c r="G98">
        <v>12.51</v>
      </c>
      <c r="H98" t="s">
        <v>296</v>
      </c>
      <c r="J98">
        <v>2.3199999999999998</v>
      </c>
      <c r="K98">
        <v>1.9</v>
      </c>
      <c r="L98">
        <v>13.29</v>
      </c>
      <c r="M98">
        <v>7.38</v>
      </c>
      <c r="N98">
        <v>3.62</v>
      </c>
      <c r="O98">
        <v>11.38</v>
      </c>
      <c r="P98">
        <v>5.31</v>
      </c>
      <c r="Q98">
        <v>12.09</v>
      </c>
    </row>
    <row r="99" spans="1:17" x14ac:dyDescent="0.2">
      <c r="A99" t="s">
        <v>272</v>
      </c>
      <c r="B99" t="s">
        <v>445</v>
      </c>
      <c r="G99" t="s">
        <v>446</v>
      </c>
      <c r="O99">
        <v>2.58</v>
      </c>
      <c r="P99">
        <v>1.64</v>
      </c>
    </row>
    <row r="100" spans="1:17" x14ac:dyDescent="0.2">
      <c r="A100" t="s">
        <v>272</v>
      </c>
      <c r="B100" t="s">
        <v>447</v>
      </c>
      <c r="G100">
        <v>4.0199999999999996</v>
      </c>
      <c r="O100">
        <v>2.58</v>
      </c>
      <c r="P100">
        <v>1.64</v>
      </c>
    </row>
    <row r="101" spans="1:17" x14ac:dyDescent="0.2">
      <c r="A101" t="s">
        <v>274</v>
      </c>
      <c r="B101" t="s">
        <v>279</v>
      </c>
      <c r="C101" t="s">
        <v>260</v>
      </c>
      <c r="D101">
        <v>19572.88</v>
      </c>
      <c r="E101">
        <v>2811.08</v>
      </c>
      <c r="F101">
        <v>5490.85</v>
      </c>
      <c r="G101">
        <v>11676.58</v>
      </c>
      <c r="H101">
        <v>8481.32</v>
      </c>
      <c r="I101">
        <v>5592.15</v>
      </c>
      <c r="J101">
        <v>2385.17</v>
      </c>
      <c r="K101">
        <v>1534.65</v>
      </c>
      <c r="L101">
        <v>12098.41</v>
      </c>
      <c r="M101">
        <v>7062.81</v>
      </c>
      <c r="N101">
        <v>3783.42</v>
      </c>
      <c r="O101" t="s">
        <v>448</v>
      </c>
      <c r="P101">
        <v>8252.61</v>
      </c>
      <c r="Q101">
        <v>7309.36</v>
      </c>
    </row>
    <row r="102" spans="1:17" x14ac:dyDescent="0.2">
      <c r="A102" t="s">
        <v>274</v>
      </c>
      <c r="B102" t="s">
        <v>449</v>
      </c>
      <c r="C102" t="s">
        <v>260</v>
      </c>
      <c r="D102">
        <v>18435.95</v>
      </c>
      <c r="E102">
        <v>3012.31</v>
      </c>
      <c r="F102">
        <v>5693.77</v>
      </c>
      <c r="G102">
        <v>11201.39</v>
      </c>
      <c r="H102">
        <v>8398.06</v>
      </c>
      <c r="I102">
        <v>6099.79</v>
      </c>
      <c r="J102">
        <v>2189.2800000000002</v>
      </c>
      <c r="K102">
        <v>1500.98</v>
      </c>
      <c r="L102">
        <v>11758.04</v>
      </c>
      <c r="M102">
        <v>6624.36</v>
      </c>
      <c r="N102">
        <v>3799.11</v>
      </c>
      <c r="O102" t="s">
        <v>450</v>
      </c>
      <c r="P102">
        <v>7184.88</v>
      </c>
      <c r="Q102">
        <v>7744.64</v>
      </c>
    </row>
    <row r="103" spans="1:17" x14ac:dyDescent="0.2">
      <c r="A103" t="s">
        <v>277</v>
      </c>
      <c r="B103" t="s">
        <v>451</v>
      </c>
      <c r="C103" t="s">
        <v>264</v>
      </c>
      <c r="D103">
        <v>1152.3800000000001</v>
      </c>
      <c r="E103">
        <v>171.22</v>
      </c>
      <c r="F103">
        <v>410.34</v>
      </c>
      <c r="G103">
        <v>763.5</v>
      </c>
      <c r="H103">
        <v>563.16999999999996</v>
      </c>
      <c r="I103">
        <v>544.05999999999995</v>
      </c>
      <c r="J103">
        <v>147.78</v>
      </c>
      <c r="K103">
        <v>104.81</v>
      </c>
      <c r="L103">
        <v>745.69</v>
      </c>
      <c r="M103">
        <v>452.54</v>
      </c>
      <c r="N103">
        <v>250.49</v>
      </c>
      <c r="O103">
        <v>629</v>
      </c>
      <c r="P103">
        <v>392.79</v>
      </c>
      <c r="Q103">
        <v>667</v>
      </c>
    </row>
    <row r="104" spans="1:17" x14ac:dyDescent="0.2">
      <c r="A104" t="s">
        <v>277</v>
      </c>
      <c r="B104" t="s">
        <v>452</v>
      </c>
      <c r="C104" t="s">
        <v>264</v>
      </c>
      <c r="D104">
        <v>1255.75</v>
      </c>
      <c r="E104">
        <v>158.32</v>
      </c>
      <c r="F104">
        <v>399.15</v>
      </c>
      <c r="G104">
        <v>720.36</v>
      </c>
      <c r="H104">
        <v>522.21</v>
      </c>
      <c r="I104">
        <v>521.70000000000005</v>
      </c>
      <c r="J104">
        <v>136.58000000000001</v>
      </c>
      <c r="K104">
        <v>100.01</v>
      </c>
      <c r="L104">
        <v>803.94</v>
      </c>
      <c r="M104">
        <v>424.47</v>
      </c>
      <c r="N104">
        <v>228.14</v>
      </c>
      <c r="O104">
        <v>597.42999999999995</v>
      </c>
      <c r="P104">
        <v>396.22</v>
      </c>
      <c r="Q104">
        <v>675.4</v>
      </c>
    </row>
    <row r="105" spans="1:17" x14ac:dyDescent="0.2">
      <c r="A105" t="s">
        <v>279</v>
      </c>
      <c r="B105" t="s">
        <v>453</v>
      </c>
      <c r="C105" t="s">
        <v>268</v>
      </c>
      <c r="D105">
        <v>91.16</v>
      </c>
      <c r="E105" t="s">
        <v>281</v>
      </c>
      <c r="F105">
        <v>27.07</v>
      </c>
      <c r="G105">
        <v>50.87</v>
      </c>
      <c r="H105">
        <v>25.32</v>
      </c>
      <c r="I105">
        <v>30.35</v>
      </c>
      <c r="J105">
        <v>9.58</v>
      </c>
      <c r="K105">
        <v>6.49</v>
      </c>
      <c r="L105">
        <v>60.88</v>
      </c>
      <c r="M105">
        <v>31.67</v>
      </c>
      <c r="N105">
        <v>14.14</v>
      </c>
      <c r="O105">
        <v>39.44</v>
      </c>
      <c r="P105">
        <v>24.66</v>
      </c>
      <c r="Q105">
        <v>46.03</v>
      </c>
    </row>
    <row r="106" spans="1:17" x14ac:dyDescent="0.2">
      <c r="A106" t="s">
        <v>279</v>
      </c>
      <c r="B106" t="s">
        <v>454</v>
      </c>
      <c r="C106" t="s">
        <v>268</v>
      </c>
      <c r="D106">
        <v>94.29</v>
      </c>
      <c r="E106" t="s">
        <v>281</v>
      </c>
      <c r="F106">
        <v>25.33</v>
      </c>
      <c r="G106">
        <v>50.87</v>
      </c>
      <c r="H106">
        <v>23.84</v>
      </c>
      <c r="I106">
        <v>36.630000000000003</v>
      </c>
      <c r="J106">
        <v>9.26</v>
      </c>
      <c r="K106">
        <v>8.17</v>
      </c>
      <c r="L106">
        <v>51.55</v>
      </c>
      <c r="M106">
        <v>29.62</v>
      </c>
      <c r="N106">
        <v>12.63</v>
      </c>
      <c r="O106">
        <v>44.04</v>
      </c>
      <c r="P106">
        <v>25.14</v>
      </c>
      <c r="Q106">
        <v>42.54</v>
      </c>
    </row>
    <row r="107" spans="1:17" x14ac:dyDescent="0.2">
      <c r="A107" t="s">
        <v>282</v>
      </c>
      <c r="B107" t="s">
        <v>455</v>
      </c>
      <c r="C107" t="s">
        <v>120</v>
      </c>
      <c r="D107" t="s">
        <v>284</v>
      </c>
      <c r="E107" t="s">
        <v>284</v>
      </c>
      <c r="F107" t="s">
        <v>284</v>
      </c>
      <c r="G107" t="s">
        <v>284</v>
      </c>
      <c r="H107" t="s">
        <v>284</v>
      </c>
      <c r="I107">
        <v>26.79</v>
      </c>
      <c r="J107">
        <v>10.89</v>
      </c>
      <c r="K107" t="s">
        <v>284</v>
      </c>
      <c r="L107">
        <v>449.92</v>
      </c>
      <c r="M107" t="s">
        <v>284</v>
      </c>
      <c r="N107" t="s">
        <v>284</v>
      </c>
      <c r="O107" t="s">
        <v>284</v>
      </c>
      <c r="P107" t="s">
        <v>284</v>
      </c>
      <c r="Q107" t="s">
        <v>284</v>
      </c>
    </row>
    <row r="108" spans="1:17" x14ac:dyDescent="0.2">
      <c r="A108" t="s">
        <v>282</v>
      </c>
      <c r="B108" t="s">
        <v>456</v>
      </c>
      <c r="C108" t="s">
        <v>120</v>
      </c>
      <c r="D108" t="s">
        <v>284</v>
      </c>
      <c r="E108" t="s">
        <v>284</v>
      </c>
      <c r="F108" t="s">
        <v>284</v>
      </c>
      <c r="G108" t="s">
        <v>284</v>
      </c>
      <c r="H108" t="s">
        <v>284</v>
      </c>
      <c r="I108">
        <v>23.9</v>
      </c>
      <c r="J108">
        <v>8.76</v>
      </c>
      <c r="K108" t="s">
        <v>284</v>
      </c>
      <c r="L108">
        <v>361.02</v>
      </c>
      <c r="M108" t="s">
        <v>284</v>
      </c>
      <c r="N108" t="s">
        <v>284</v>
      </c>
      <c r="O108" t="s">
        <v>284</v>
      </c>
      <c r="P108" t="s">
        <v>284</v>
      </c>
      <c r="Q108" t="s">
        <v>284</v>
      </c>
    </row>
    <row r="109" spans="1:17" x14ac:dyDescent="0.2">
      <c r="A109" t="s">
        <v>285</v>
      </c>
      <c r="B109" t="s">
        <v>457</v>
      </c>
      <c r="C109" t="s">
        <v>121</v>
      </c>
      <c r="D109" t="s">
        <v>284</v>
      </c>
      <c r="E109" t="s">
        <v>284</v>
      </c>
      <c r="F109" t="s">
        <v>284</v>
      </c>
      <c r="G109" t="s">
        <v>284</v>
      </c>
      <c r="H109" t="s">
        <v>304</v>
      </c>
      <c r="I109">
        <v>50.12</v>
      </c>
      <c r="J109">
        <v>3.47</v>
      </c>
      <c r="K109" t="s">
        <v>284</v>
      </c>
      <c r="L109">
        <v>314.76</v>
      </c>
      <c r="M109" t="s">
        <v>284</v>
      </c>
      <c r="N109" t="s">
        <v>284</v>
      </c>
      <c r="O109" t="s">
        <v>284</v>
      </c>
      <c r="P109" t="s">
        <v>284</v>
      </c>
      <c r="Q109" t="s">
        <v>284</v>
      </c>
    </row>
    <row r="110" spans="1:17" x14ac:dyDescent="0.2">
      <c r="A110" t="s">
        <v>285</v>
      </c>
      <c r="B110" t="s">
        <v>458</v>
      </c>
      <c r="C110" t="s">
        <v>121</v>
      </c>
      <c r="D110" t="s">
        <v>284</v>
      </c>
      <c r="E110" t="s">
        <v>284</v>
      </c>
      <c r="F110" t="s">
        <v>284</v>
      </c>
      <c r="G110" t="s">
        <v>284</v>
      </c>
      <c r="H110" t="s">
        <v>314</v>
      </c>
      <c r="I110">
        <v>44.11</v>
      </c>
      <c r="J110">
        <v>3.12</v>
      </c>
      <c r="K110" t="s">
        <v>284</v>
      </c>
      <c r="L110">
        <v>311.93</v>
      </c>
      <c r="M110" t="s">
        <v>284</v>
      </c>
      <c r="N110" t="s">
        <v>284</v>
      </c>
      <c r="O110" t="s">
        <v>284</v>
      </c>
      <c r="P110" t="s">
        <v>284</v>
      </c>
      <c r="Q110" t="s">
        <v>284</v>
      </c>
    </row>
    <row r="111" spans="1:17" x14ac:dyDescent="0.2">
      <c r="A111" t="s">
        <v>288</v>
      </c>
      <c r="B111" t="s">
        <v>459</v>
      </c>
      <c r="C111" t="s">
        <v>122</v>
      </c>
      <c r="D111" t="s">
        <v>284</v>
      </c>
      <c r="E111" t="s">
        <v>284</v>
      </c>
      <c r="F111" t="s">
        <v>284</v>
      </c>
      <c r="G111" t="s">
        <v>284</v>
      </c>
      <c r="H111" t="s">
        <v>314</v>
      </c>
      <c r="I111">
        <v>43.44</v>
      </c>
      <c r="J111">
        <v>2.68</v>
      </c>
      <c r="K111" t="s">
        <v>284</v>
      </c>
      <c r="L111">
        <v>327.02999999999997</v>
      </c>
      <c r="M111" t="s">
        <v>284</v>
      </c>
      <c r="N111" t="s">
        <v>284</v>
      </c>
      <c r="O111" t="s">
        <v>284</v>
      </c>
      <c r="P111" t="s">
        <v>284</v>
      </c>
      <c r="Q111" t="s">
        <v>284</v>
      </c>
    </row>
    <row r="112" spans="1:17" x14ac:dyDescent="0.2">
      <c r="A112" t="s">
        <v>288</v>
      </c>
      <c r="B112" t="s">
        <v>460</v>
      </c>
      <c r="C112" t="s">
        <v>122</v>
      </c>
      <c r="D112" t="s">
        <v>284</v>
      </c>
      <c r="E112" t="s">
        <v>284</v>
      </c>
      <c r="F112" t="s">
        <v>284</v>
      </c>
      <c r="G112" t="s">
        <v>284</v>
      </c>
      <c r="H112" t="s">
        <v>284</v>
      </c>
      <c r="I112">
        <v>63.14</v>
      </c>
      <c r="J112">
        <v>4.24</v>
      </c>
      <c r="K112" t="s">
        <v>284</v>
      </c>
      <c r="L112">
        <v>432.86</v>
      </c>
      <c r="M112" t="s">
        <v>284</v>
      </c>
      <c r="N112" t="s">
        <v>284</v>
      </c>
      <c r="O112" t="s">
        <v>284</v>
      </c>
      <c r="P112" t="s">
        <v>284</v>
      </c>
      <c r="Q112" t="s">
        <v>284</v>
      </c>
    </row>
    <row r="113" spans="1:17" x14ac:dyDescent="0.2">
      <c r="A113" t="s">
        <v>291</v>
      </c>
      <c r="B113" t="s">
        <v>461</v>
      </c>
      <c r="C113" t="s">
        <v>123</v>
      </c>
      <c r="D113" t="s">
        <v>284</v>
      </c>
      <c r="E113" t="s">
        <v>284</v>
      </c>
      <c r="F113" t="s">
        <v>284</v>
      </c>
      <c r="G113" t="s">
        <v>284</v>
      </c>
      <c r="H113" t="s">
        <v>293</v>
      </c>
      <c r="I113">
        <v>432.44</v>
      </c>
      <c r="J113">
        <v>88.13</v>
      </c>
      <c r="K113">
        <v>102.84</v>
      </c>
      <c r="L113">
        <v>639.41</v>
      </c>
      <c r="M113" t="s">
        <v>284</v>
      </c>
      <c r="N113" t="s">
        <v>284</v>
      </c>
      <c r="O113" t="s">
        <v>284</v>
      </c>
      <c r="P113" t="s">
        <v>284</v>
      </c>
      <c r="Q113" t="s">
        <v>284</v>
      </c>
    </row>
    <row r="114" spans="1:17" x14ac:dyDescent="0.2">
      <c r="A114" t="s">
        <v>291</v>
      </c>
      <c r="B114" t="s">
        <v>462</v>
      </c>
      <c r="C114" t="s">
        <v>123</v>
      </c>
      <c r="D114" t="s">
        <v>284</v>
      </c>
      <c r="E114" t="s">
        <v>284</v>
      </c>
      <c r="F114" t="s">
        <v>284</v>
      </c>
      <c r="G114" t="s">
        <v>284</v>
      </c>
      <c r="H114" t="s">
        <v>293</v>
      </c>
      <c r="I114">
        <v>400.82</v>
      </c>
      <c r="J114">
        <v>86.44</v>
      </c>
      <c r="K114">
        <v>108.89</v>
      </c>
      <c r="L114">
        <v>682.11</v>
      </c>
      <c r="M114" t="s">
        <v>284</v>
      </c>
      <c r="N114" t="s">
        <v>284</v>
      </c>
      <c r="O114" t="s">
        <v>284</v>
      </c>
      <c r="P114" t="s">
        <v>284</v>
      </c>
      <c r="Q114" t="s">
        <v>284</v>
      </c>
    </row>
    <row r="115" spans="1:17" x14ac:dyDescent="0.2">
      <c r="A115" t="s">
        <v>294</v>
      </c>
      <c r="B115" t="s">
        <v>463</v>
      </c>
      <c r="C115" t="s">
        <v>124</v>
      </c>
      <c r="D115" t="s">
        <v>284</v>
      </c>
      <c r="E115" t="s">
        <v>284</v>
      </c>
      <c r="F115" t="s">
        <v>284</v>
      </c>
      <c r="G115" t="s">
        <v>284</v>
      </c>
      <c r="H115" t="s">
        <v>296</v>
      </c>
      <c r="I115">
        <v>50.12</v>
      </c>
      <c r="J115">
        <v>17.03</v>
      </c>
      <c r="K115">
        <v>1.64</v>
      </c>
      <c r="L115">
        <v>543.22</v>
      </c>
      <c r="M115" t="s">
        <v>284</v>
      </c>
      <c r="N115" t="s">
        <v>284</v>
      </c>
      <c r="O115" t="s">
        <v>284</v>
      </c>
      <c r="P115" t="s">
        <v>284</v>
      </c>
      <c r="Q115" t="s">
        <v>284</v>
      </c>
    </row>
    <row r="116" spans="1:17" x14ac:dyDescent="0.2">
      <c r="A116" t="s">
        <v>294</v>
      </c>
      <c r="B116" t="s">
        <v>464</v>
      </c>
      <c r="C116" t="s">
        <v>124</v>
      </c>
      <c r="D116" t="s">
        <v>284</v>
      </c>
      <c r="E116" t="s">
        <v>284</v>
      </c>
      <c r="F116" t="s">
        <v>284</v>
      </c>
      <c r="G116" t="s">
        <v>284</v>
      </c>
      <c r="H116" t="s">
        <v>296</v>
      </c>
      <c r="I116">
        <v>51.44</v>
      </c>
      <c r="J116">
        <v>20.48</v>
      </c>
      <c r="K116" t="s">
        <v>443</v>
      </c>
      <c r="L116">
        <v>618.15</v>
      </c>
      <c r="M116" t="s">
        <v>284</v>
      </c>
      <c r="N116" t="s">
        <v>284</v>
      </c>
      <c r="O116" t="s">
        <v>284</v>
      </c>
      <c r="P116" t="s">
        <v>284</v>
      </c>
      <c r="Q116" t="s">
        <v>284</v>
      </c>
    </row>
    <row r="117" spans="1:17" x14ac:dyDescent="0.2">
      <c r="A117" t="s">
        <v>298</v>
      </c>
      <c r="B117" t="s">
        <v>465</v>
      </c>
      <c r="C117" t="s">
        <v>125</v>
      </c>
      <c r="D117" t="s">
        <v>284</v>
      </c>
      <c r="E117" t="s">
        <v>284</v>
      </c>
      <c r="F117" t="s">
        <v>284</v>
      </c>
      <c r="G117" t="s">
        <v>284</v>
      </c>
      <c r="H117" t="s">
        <v>304</v>
      </c>
      <c r="I117">
        <v>60.57</v>
      </c>
      <c r="J117">
        <v>18.47</v>
      </c>
      <c r="K117">
        <v>3.39</v>
      </c>
      <c r="L117">
        <v>624.91</v>
      </c>
      <c r="M117" t="s">
        <v>284</v>
      </c>
      <c r="N117" t="s">
        <v>284</v>
      </c>
      <c r="O117" t="s">
        <v>284</v>
      </c>
      <c r="P117" t="s">
        <v>284</v>
      </c>
      <c r="Q117" t="s">
        <v>284</v>
      </c>
    </row>
    <row r="118" spans="1:17" x14ac:dyDescent="0.2">
      <c r="A118" t="s">
        <v>298</v>
      </c>
      <c r="B118" t="s">
        <v>466</v>
      </c>
      <c r="C118" t="s">
        <v>125</v>
      </c>
      <c r="D118" t="s">
        <v>284</v>
      </c>
      <c r="E118" t="s">
        <v>284</v>
      </c>
      <c r="F118" t="s">
        <v>284</v>
      </c>
      <c r="G118" t="s">
        <v>284</v>
      </c>
      <c r="H118">
        <v>9.36</v>
      </c>
      <c r="I118">
        <v>50.12</v>
      </c>
      <c r="J118">
        <v>26.14</v>
      </c>
      <c r="K118">
        <v>4.8600000000000003</v>
      </c>
      <c r="L118">
        <v>686.01</v>
      </c>
      <c r="M118" t="s">
        <v>284</v>
      </c>
      <c r="N118" t="s">
        <v>284</v>
      </c>
      <c r="O118" t="s">
        <v>284</v>
      </c>
      <c r="P118" t="s">
        <v>284</v>
      </c>
      <c r="Q118" t="s">
        <v>284</v>
      </c>
    </row>
    <row r="119" spans="1:17" x14ac:dyDescent="0.2">
      <c r="A119" t="s">
        <v>300</v>
      </c>
      <c r="B119" t="s">
        <v>467</v>
      </c>
      <c r="C119" t="s">
        <v>126</v>
      </c>
      <c r="D119" t="s">
        <v>284</v>
      </c>
      <c r="E119" t="s">
        <v>284</v>
      </c>
      <c r="F119" t="s">
        <v>284</v>
      </c>
      <c r="G119" t="s">
        <v>284</v>
      </c>
      <c r="H119" t="s">
        <v>314</v>
      </c>
      <c r="I119">
        <v>94.96</v>
      </c>
      <c r="J119">
        <v>2.41</v>
      </c>
      <c r="K119">
        <v>9.1199999999999992</v>
      </c>
      <c r="L119">
        <v>400.69</v>
      </c>
      <c r="M119" t="s">
        <v>284</v>
      </c>
      <c r="N119" t="s">
        <v>284</v>
      </c>
      <c r="O119" t="s">
        <v>284</v>
      </c>
      <c r="P119" t="s">
        <v>284</v>
      </c>
      <c r="Q119" t="s">
        <v>284</v>
      </c>
    </row>
    <row r="120" spans="1:17" x14ac:dyDescent="0.2">
      <c r="A120" t="s">
        <v>300</v>
      </c>
      <c r="B120" t="s">
        <v>468</v>
      </c>
      <c r="C120" t="s">
        <v>126</v>
      </c>
      <c r="D120" t="s">
        <v>284</v>
      </c>
      <c r="E120" t="s">
        <v>284</v>
      </c>
      <c r="F120" t="s">
        <v>284</v>
      </c>
      <c r="G120" t="s">
        <v>284</v>
      </c>
      <c r="H120" t="s">
        <v>284</v>
      </c>
      <c r="I120">
        <v>87</v>
      </c>
      <c r="J120">
        <v>3.21</v>
      </c>
      <c r="K120">
        <v>11.68</v>
      </c>
      <c r="L120">
        <v>447.08</v>
      </c>
      <c r="M120" t="s">
        <v>284</v>
      </c>
      <c r="N120" t="s">
        <v>284</v>
      </c>
      <c r="O120" t="s">
        <v>284</v>
      </c>
      <c r="P120" t="s">
        <v>284</v>
      </c>
      <c r="Q120" t="s">
        <v>284</v>
      </c>
    </row>
    <row r="121" spans="1:17" x14ac:dyDescent="0.2">
      <c r="A121" t="s">
        <v>302</v>
      </c>
      <c r="B121" t="s">
        <v>469</v>
      </c>
      <c r="C121" t="s">
        <v>127</v>
      </c>
      <c r="D121" t="s">
        <v>284</v>
      </c>
      <c r="E121" t="s">
        <v>284</v>
      </c>
      <c r="F121" t="s">
        <v>284</v>
      </c>
      <c r="G121" t="s">
        <v>284</v>
      </c>
      <c r="H121" t="s">
        <v>296</v>
      </c>
      <c r="I121">
        <v>63.14</v>
      </c>
      <c r="J121">
        <v>2.85</v>
      </c>
      <c r="K121" t="s">
        <v>284</v>
      </c>
      <c r="L121">
        <v>412.04</v>
      </c>
      <c r="M121" t="s">
        <v>284</v>
      </c>
      <c r="N121" t="s">
        <v>284</v>
      </c>
      <c r="O121" t="s">
        <v>284</v>
      </c>
      <c r="P121" t="s">
        <v>284</v>
      </c>
      <c r="Q121" t="s">
        <v>284</v>
      </c>
    </row>
    <row r="122" spans="1:17" x14ac:dyDescent="0.2">
      <c r="A122" t="s">
        <v>302</v>
      </c>
      <c r="B122" t="s">
        <v>470</v>
      </c>
      <c r="C122" t="s">
        <v>127</v>
      </c>
      <c r="D122" t="s">
        <v>284</v>
      </c>
      <c r="E122" t="s">
        <v>284</v>
      </c>
      <c r="F122" t="s">
        <v>284</v>
      </c>
      <c r="G122" t="s">
        <v>284</v>
      </c>
      <c r="H122" t="s">
        <v>314</v>
      </c>
      <c r="I122">
        <v>56.68</v>
      </c>
      <c r="J122" t="s">
        <v>471</v>
      </c>
      <c r="K122" t="s">
        <v>373</v>
      </c>
      <c r="L122">
        <v>421.5</v>
      </c>
      <c r="M122" t="s">
        <v>284</v>
      </c>
      <c r="N122" t="s">
        <v>284</v>
      </c>
      <c r="O122" t="s">
        <v>284</v>
      </c>
      <c r="P122" t="s">
        <v>284</v>
      </c>
      <c r="Q122" t="s">
        <v>284</v>
      </c>
    </row>
    <row r="123" spans="1:17" x14ac:dyDescent="0.2">
      <c r="A123" t="s">
        <v>305</v>
      </c>
      <c r="B123" t="s">
        <v>306</v>
      </c>
      <c r="C123" t="s">
        <v>128</v>
      </c>
      <c r="D123" t="s">
        <v>284</v>
      </c>
      <c r="E123" t="s">
        <v>284</v>
      </c>
      <c r="F123" t="s">
        <v>284</v>
      </c>
      <c r="G123" t="s">
        <v>284</v>
      </c>
      <c r="H123" t="s">
        <v>284</v>
      </c>
      <c r="I123">
        <v>42.76</v>
      </c>
      <c r="J123">
        <v>5.77</v>
      </c>
      <c r="K123" t="s">
        <v>284</v>
      </c>
      <c r="L123">
        <v>613.32000000000005</v>
      </c>
      <c r="M123" t="s">
        <v>284</v>
      </c>
      <c r="N123" t="s">
        <v>284</v>
      </c>
      <c r="O123" t="s">
        <v>284</v>
      </c>
      <c r="P123" t="s">
        <v>284</v>
      </c>
      <c r="Q123" t="s">
        <v>284</v>
      </c>
    </row>
    <row r="124" spans="1:17" x14ac:dyDescent="0.2">
      <c r="A124" t="s">
        <v>307</v>
      </c>
      <c r="B124" t="s">
        <v>308</v>
      </c>
      <c r="C124" t="s">
        <v>129</v>
      </c>
      <c r="D124" t="s">
        <v>284</v>
      </c>
      <c r="E124" t="s">
        <v>284</v>
      </c>
      <c r="F124" t="s">
        <v>284</v>
      </c>
      <c r="G124" t="s">
        <v>284</v>
      </c>
      <c r="H124">
        <v>9.36</v>
      </c>
      <c r="I124">
        <v>347.38</v>
      </c>
      <c r="J124">
        <v>47.59</v>
      </c>
      <c r="K124">
        <v>17.34</v>
      </c>
      <c r="L124">
        <v>308.14999999999998</v>
      </c>
      <c r="M124" t="s">
        <v>284</v>
      </c>
      <c r="N124" t="s">
        <v>284</v>
      </c>
      <c r="O124" t="s">
        <v>284</v>
      </c>
      <c r="P124" t="s">
        <v>284</v>
      </c>
      <c r="Q124" t="s">
        <v>284</v>
      </c>
    </row>
    <row r="125" spans="1:17" x14ac:dyDescent="0.2">
      <c r="A125" t="s">
        <v>309</v>
      </c>
      <c r="B125" t="s">
        <v>310</v>
      </c>
      <c r="C125" t="s">
        <v>130</v>
      </c>
      <c r="D125" t="s">
        <v>284</v>
      </c>
      <c r="E125" t="s">
        <v>284</v>
      </c>
      <c r="F125" t="s">
        <v>284</v>
      </c>
      <c r="G125" t="s">
        <v>284</v>
      </c>
      <c r="H125" t="s">
        <v>284</v>
      </c>
      <c r="I125">
        <v>13.34</v>
      </c>
      <c r="J125" t="s">
        <v>311</v>
      </c>
      <c r="K125" t="s">
        <v>284</v>
      </c>
      <c r="L125">
        <v>267.51</v>
      </c>
      <c r="M125" t="s">
        <v>284</v>
      </c>
      <c r="N125" t="s">
        <v>284</v>
      </c>
      <c r="O125" t="s">
        <v>284</v>
      </c>
      <c r="P125" t="s">
        <v>284</v>
      </c>
      <c r="Q125" t="s">
        <v>284</v>
      </c>
    </row>
    <row r="126" spans="1:17" x14ac:dyDescent="0.2">
      <c r="A126" t="s">
        <v>312</v>
      </c>
      <c r="B126" t="s">
        <v>313</v>
      </c>
      <c r="C126" t="s">
        <v>131</v>
      </c>
      <c r="D126" t="s">
        <v>284</v>
      </c>
      <c r="E126" t="s">
        <v>284</v>
      </c>
      <c r="F126" t="s">
        <v>284</v>
      </c>
      <c r="G126" t="s">
        <v>284</v>
      </c>
      <c r="H126" t="s">
        <v>314</v>
      </c>
      <c r="I126">
        <v>8.49</v>
      </c>
      <c r="J126">
        <v>8.1</v>
      </c>
      <c r="K126" t="s">
        <v>284</v>
      </c>
      <c r="L126">
        <v>327.98</v>
      </c>
      <c r="M126" t="s">
        <v>284</v>
      </c>
      <c r="N126" t="s">
        <v>284</v>
      </c>
      <c r="O126" t="s">
        <v>284</v>
      </c>
      <c r="P126" t="s">
        <v>284</v>
      </c>
      <c r="Q126" t="s">
        <v>284</v>
      </c>
    </row>
    <row r="127" spans="1:17" x14ac:dyDescent="0.2">
      <c r="A127" t="s">
        <v>315</v>
      </c>
      <c r="B127" t="s">
        <v>316</v>
      </c>
      <c r="C127" t="s">
        <v>132</v>
      </c>
      <c r="D127" t="s">
        <v>284</v>
      </c>
      <c r="E127" t="s">
        <v>284</v>
      </c>
      <c r="F127" t="s">
        <v>284</v>
      </c>
      <c r="G127" t="s">
        <v>284</v>
      </c>
      <c r="H127" t="s">
        <v>314</v>
      </c>
      <c r="I127">
        <v>290.74</v>
      </c>
      <c r="J127">
        <v>114.27</v>
      </c>
      <c r="K127">
        <v>9.42</v>
      </c>
      <c r="L127">
        <v>2386.6</v>
      </c>
      <c r="M127" t="s">
        <v>284</v>
      </c>
      <c r="N127" t="s">
        <v>284</v>
      </c>
      <c r="O127" t="s">
        <v>284</v>
      </c>
      <c r="P127" t="s">
        <v>284</v>
      </c>
      <c r="Q127" t="s">
        <v>284</v>
      </c>
    </row>
    <row r="128" spans="1:17" x14ac:dyDescent="0.2">
      <c r="A128" t="s">
        <v>317</v>
      </c>
      <c r="B128" t="s">
        <v>318</v>
      </c>
      <c r="C128" t="s">
        <v>133</v>
      </c>
      <c r="D128" t="s">
        <v>284</v>
      </c>
      <c r="E128" t="s">
        <v>284</v>
      </c>
      <c r="F128" t="s">
        <v>284</v>
      </c>
      <c r="G128" t="s">
        <v>284</v>
      </c>
      <c r="H128">
        <v>12.19</v>
      </c>
      <c r="I128">
        <v>142.29</v>
      </c>
      <c r="J128">
        <v>31.57</v>
      </c>
      <c r="K128">
        <v>5.0999999999999996</v>
      </c>
      <c r="L128">
        <v>1455.97</v>
      </c>
      <c r="M128" t="s">
        <v>284</v>
      </c>
      <c r="N128" t="s">
        <v>284</v>
      </c>
      <c r="O128" t="s">
        <v>284</v>
      </c>
      <c r="P128" t="s">
        <v>284</v>
      </c>
      <c r="Q128" t="s">
        <v>284</v>
      </c>
    </row>
    <row r="129" spans="1:17" x14ac:dyDescent="0.2">
      <c r="A129" t="s">
        <v>319</v>
      </c>
      <c r="B129" t="s">
        <v>320</v>
      </c>
      <c r="C129" t="s">
        <v>134</v>
      </c>
      <c r="D129" t="s">
        <v>284</v>
      </c>
      <c r="E129" t="s">
        <v>284</v>
      </c>
      <c r="F129" t="s">
        <v>284</v>
      </c>
      <c r="G129" t="s">
        <v>284</v>
      </c>
      <c r="H129" t="s">
        <v>304</v>
      </c>
      <c r="I129">
        <v>227.73</v>
      </c>
      <c r="J129">
        <v>36.68</v>
      </c>
      <c r="K129" t="s">
        <v>284</v>
      </c>
      <c r="L129">
        <v>633.6</v>
      </c>
      <c r="M129" t="s">
        <v>284</v>
      </c>
      <c r="N129" t="s">
        <v>284</v>
      </c>
      <c r="O129" t="s">
        <v>284</v>
      </c>
      <c r="P129" t="s">
        <v>284</v>
      </c>
      <c r="Q129" t="s">
        <v>284</v>
      </c>
    </row>
    <row r="130" spans="1:17" x14ac:dyDescent="0.2">
      <c r="A130" t="s">
        <v>321</v>
      </c>
      <c r="B130" t="s">
        <v>322</v>
      </c>
      <c r="C130" t="s">
        <v>135</v>
      </c>
      <c r="D130" t="s">
        <v>284</v>
      </c>
      <c r="E130" t="s">
        <v>284</v>
      </c>
      <c r="F130" t="s">
        <v>284</v>
      </c>
      <c r="G130" t="s">
        <v>284</v>
      </c>
      <c r="H130" t="s">
        <v>314</v>
      </c>
      <c r="I130">
        <v>78.319999999999993</v>
      </c>
      <c r="J130">
        <v>14.38</v>
      </c>
      <c r="K130" t="s">
        <v>284</v>
      </c>
      <c r="L130">
        <v>506.95</v>
      </c>
      <c r="M130" t="s">
        <v>284</v>
      </c>
      <c r="N130" t="s">
        <v>284</v>
      </c>
      <c r="O130" t="s">
        <v>284</v>
      </c>
      <c r="P130" t="s">
        <v>284</v>
      </c>
      <c r="Q130" t="s">
        <v>284</v>
      </c>
    </row>
    <row r="131" spans="1:17" x14ac:dyDescent="0.2">
      <c r="A131" t="s">
        <v>323</v>
      </c>
      <c r="B131" t="s">
        <v>324</v>
      </c>
      <c r="C131" t="s">
        <v>136</v>
      </c>
      <c r="D131" t="s">
        <v>284</v>
      </c>
      <c r="E131" t="s">
        <v>284</v>
      </c>
      <c r="F131" t="s">
        <v>284</v>
      </c>
      <c r="G131" t="s">
        <v>284</v>
      </c>
      <c r="H131" t="s">
        <v>284</v>
      </c>
      <c r="I131">
        <v>18.72</v>
      </c>
      <c r="J131">
        <v>5.26</v>
      </c>
      <c r="K131" t="s">
        <v>284</v>
      </c>
      <c r="L131">
        <v>398.8</v>
      </c>
      <c r="M131" t="s">
        <v>284</v>
      </c>
      <c r="N131" t="s">
        <v>284</v>
      </c>
      <c r="O131" t="s">
        <v>284</v>
      </c>
      <c r="P131" t="s">
        <v>284</v>
      </c>
      <c r="Q131" t="s">
        <v>284</v>
      </c>
    </row>
    <row r="132" spans="1:17" x14ac:dyDescent="0.2">
      <c r="A132" t="s">
        <v>325</v>
      </c>
      <c r="B132" t="s">
        <v>326</v>
      </c>
      <c r="C132" t="s">
        <v>137</v>
      </c>
      <c r="D132" t="s">
        <v>284</v>
      </c>
      <c r="E132" t="s">
        <v>284</v>
      </c>
      <c r="F132" t="s">
        <v>284</v>
      </c>
      <c r="G132" t="s">
        <v>284</v>
      </c>
      <c r="H132">
        <v>15.07</v>
      </c>
      <c r="I132">
        <v>2035.06</v>
      </c>
      <c r="J132">
        <v>179.94</v>
      </c>
      <c r="K132">
        <v>212.38</v>
      </c>
      <c r="L132">
        <v>711.38</v>
      </c>
      <c r="M132" t="s">
        <v>284</v>
      </c>
      <c r="N132" t="s">
        <v>284</v>
      </c>
      <c r="O132" t="s">
        <v>284</v>
      </c>
      <c r="P132">
        <v>2.1800000000000002</v>
      </c>
      <c r="Q132" t="s">
        <v>284</v>
      </c>
    </row>
    <row r="133" spans="1:17" x14ac:dyDescent="0.2">
      <c r="A133" t="s">
        <v>327</v>
      </c>
      <c r="B133" t="s">
        <v>328</v>
      </c>
      <c r="C133" t="s">
        <v>138</v>
      </c>
      <c r="D133" t="s">
        <v>284</v>
      </c>
      <c r="E133" t="s">
        <v>284</v>
      </c>
      <c r="F133" t="s">
        <v>284</v>
      </c>
      <c r="G133" t="s">
        <v>284</v>
      </c>
      <c r="H133" t="s">
        <v>284</v>
      </c>
      <c r="I133">
        <v>72.05</v>
      </c>
      <c r="J133">
        <v>217.63</v>
      </c>
      <c r="K133">
        <v>3.14</v>
      </c>
      <c r="L133">
        <v>2242.2600000000002</v>
      </c>
      <c r="M133" t="s">
        <v>284</v>
      </c>
      <c r="N133" t="s">
        <v>284</v>
      </c>
      <c r="O133" t="s">
        <v>284</v>
      </c>
      <c r="P133" t="s">
        <v>284</v>
      </c>
      <c r="Q133" t="s">
        <v>284</v>
      </c>
    </row>
    <row r="134" spans="1:17" x14ac:dyDescent="0.2">
      <c r="A134" t="s">
        <v>329</v>
      </c>
      <c r="B134" t="s">
        <v>330</v>
      </c>
      <c r="C134" t="s">
        <v>139</v>
      </c>
      <c r="D134" t="s">
        <v>284</v>
      </c>
      <c r="E134" t="s">
        <v>284</v>
      </c>
      <c r="F134" t="s">
        <v>284</v>
      </c>
      <c r="G134" t="s">
        <v>284</v>
      </c>
      <c r="H134" t="s">
        <v>314</v>
      </c>
      <c r="I134">
        <v>61.21</v>
      </c>
      <c r="J134">
        <v>193.3</v>
      </c>
      <c r="K134">
        <v>4.6100000000000003</v>
      </c>
      <c r="L134">
        <v>737.83</v>
      </c>
      <c r="M134" t="s">
        <v>284</v>
      </c>
      <c r="N134" t="s">
        <v>284</v>
      </c>
      <c r="O134" t="s">
        <v>284</v>
      </c>
      <c r="P134" t="s">
        <v>284</v>
      </c>
      <c r="Q134" t="s">
        <v>284</v>
      </c>
    </row>
    <row r="135" spans="1:17" x14ac:dyDescent="0.2">
      <c r="A135" t="s">
        <v>331</v>
      </c>
      <c r="B135" t="s">
        <v>332</v>
      </c>
      <c r="C135" t="s">
        <v>140</v>
      </c>
      <c r="D135" t="s">
        <v>284</v>
      </c>
      <c r="E135" t="s">
        <v>284</v>
      </c>
      <c r="F135" t="s">
        <v>284</v>
      </c>
      <c r="G135" t="s">
        <v>284</v>
      </c>
      <c r="H135" t="s">
        <v>284</v>
      </c>
      <c r="I135">
        <v>14.9</v>
      </c>
      <c r="J135" t="s">
        <v>333</v>
      </c>
      <c r="K135" t="s">
        <v>284</v>
      </c>
      <c r="L135">
        <v>264.67</v>
      </c>
      <c r="M135" t="s">
        <v>284</v>
      </c>
      <c r="N135" t="s">
        <v>284</v>
      </c>
      <c r="O135" t="s">
        <v>284</v>
      </c>
      <c r="P135" t="s">
        <v>284</v>
      </c>
      <c r="Q135" t="s">
        <v>284</v>
      </c>
    </row>
    <row r="136" spans="1:17" x14ac:dyDescent="0.2">
      <c r="A136" t="s">
        <v>334</v>
      </c>
      <c r="B136" t="s">
        <v>335</v>
      </c>
      <c r="C136" t="s">
        <v>141</v>
      </c>
      <c r="D136" t="s">
        <v>284</v>
      </c>
      <c r="E136" t="s">
        <v>284</v>
      </c>
      <c r="F136" t="s">
        <v>284</v>
      </c>
      <c r="G136" t="s">
        <v>284</v>
      </c>
      <c r="H136" t="s">
        <v>284</v>
      </c>
      <c r="I136">
        <v>17.2</v>
      </c>
      <c r="J136">
        <v>2.68</v>
      </c>
      <c r="K136" t="s">
        <v>284</v>
      </c>
      <c r="L136">
        <v>289.26</v>
      </c>
      <c r="M136" t="s">
        <v>284</v>
      </c>
      <c r="N136" t="s">
        <v>284</v>
      </c>
      <c r="O136" t="s">
        <v>284</v>
      </c>
      <c r="P136" t="s">
        <v>284</v>
      </c>
      <c r="Q136" t="s">
        <v>284</v>
      </c>
    </row>
    <row r="137" spans="1:17" x14ac:dyDescent="0.2">
      <c r="A137" t="s">
        <v>336</v>
      </c>
      <c r="B137" t="s">
        <v>337</v>
      </c>
      <c r="C137" t="s">
        <v>142</v>
      </c>
      <c r="D137" t="s">
        <v>284</v>
      </c>
      <c r="E137" t="s">
        <v>284</v>
      </c>
      <c r="F137" t="s">
        <v>284</v>
      </c>
      <c r="G137" t="s">
        <v>284</v>
      </c>
      <c r="H137" t="s">
        <v>284</v>
      </c>
      <c r="I137" t="s">
        <v>284</v>
      </c>
      <c r="J137" t="s">
        <v>338</v>
      </c>
      <c r="K137" t="s">
        <v>284</v>
      </c>
      <c r="L137">
        <v>330.81</v>
      </c>
      <c r="M137" t="s">
        <v>284</v>
      </c>
      <c r="N137" t="s">
        <v>284</v>
      </c>
      <c r="O137" t="s">
        <v>284</v>
      </c>
      <c r="P137" t="s">
        <v>284</v>
      </c>
      <c r="Q137" t="s">
        <v>284</v>
      </c>
    </row>
    <row r="138" spans="1:17" x14ac:dyDescent="0.2">
      <c r="A138" t="s">
        <v>339</v>
      </c>
      <c r="B138" t="s">
        <v>340</v>
      </c>
      <c r="C138" t="s">
        <v>143</v>
      </c>
      <c r="D138" t="s">
        <v>284</v>
      </c>
      <c r="E138" t="s">
        <v>284</v>
      </c>
      <c r="F138" t="s">
        <v>284</v>
      </c>
      <c r="G138" t="s">
        <v>284</v>
      </c>
      <c r="H138" t="s">
        <v>304</v>
      </c>
      <c r="I138">
        <v>46.13</v>
      </c>
      <c r="J138">
        <v>5.77</v>
      </c>
      <c r="K138" t="s">
        <v>341</v>
      </c>
      <c r="L138">
        <v>291.14999999999998</v>
      </c>
      <c r="M138" t="s">
        <v>284</v>
      </c>
      <c r="N138" t="s">
        <v>284</v>
      </c>
      <c r="O138" t="s">
        <v>284</v>
      </c>
      <c r="P138" t="s">
        <v>284</v>
      </c>
      <c r="Q138" t="s">
        <v>284</v>
      </c>
    </row>
    <row r="139" spans="1:17" x14ac:dyDescent="0.2">
      <c r="A139" t="s">
        <v>342</v>
      </c>
      <c r="B139" t="s">
        <v>343</v>
      </c>
      <c r="C139" t="s">
        <v>144</v>
      </c>
      <c r="D139" t="s">
        <v>284</v>
      </c>
      <c r="E139" t="s">
        <v>284</v>
      </c>
      <c r="F139" t="s">
        <v>284</v>
      </c>
      <c r="G139" t="s">
        <v>284</v>
      </c>
      <c r="H139" t="s">
        <v>314</v>
      </c>
      <c r="I139" t="s">
        <v>284</v>
      </c>
      <c r="J139" t="s">
        <v>284</v>
      </c>
      <c r="K139" t="s">
        <v>284</v>
      </c>
      <c r="L139">
        <v>178.07</v>
      </c>
      <c r="M139" t="s">
        <v>284</v>
      </c>
      <c r="N139" t="s">
        <v>284</v>
      </c>
      <c r="O139" t="s">
        <v>284</v>
      </c>
      <c r="P139" t="s">
        <v>284</v>
      </c>
      <c r="Q139" t="s">
        <v>284</v>
      </c>
    </row>
    <row r="140" spans="1:17" x14ac:dyDescent="0.2">
      <c r="A140" t="s">
        <v>344</v>
      </c>
      <c r="B140" t="s">
        <v>345</v>
      </c>
      <c r="C140" t="s">
        <v>145</v>
      </c>
      <c r="D140" t="s">
        <v>284</v>
      </c>
      <c r="E140" t="s">
        <v>284</v>
      </c>
      <c r="F140" t="s">
        <v>284</v>
      </c>
      <c r="G140" t="s">
        <v>284</v>
      </c>
      <c r="H140" t="s">
        <v>284</v>
      </c>
      <c r="I140">
        <v>31.76</v>
      </c>
      <c r="J140">
        <v>14.94</v>
      </c>
      <c r="K140">
        <v>2.02</v>
      </c>
      <c r="L140">
        <v>984.21</v>
      </c>
      <c r="M140" t="s">
        <v>284</v>
      </c>
      <c r="N140" t="s">
        <v>284</v>
      </c>
      <c r="O140" t="s">
        <v>284</v>
      </c>
      <c r="P140" t="s">
        <v>284</v>
      </c>
      <c r="Q140" t="s">
        <v>284</v>
      </c>
    </row>
    <row r="141" spans="1:17" x14ac:dyDescent="0.2">
      <c r="A141" t="s">
        <v>346</v>
      </c>
      <c r="B141" t="s">
        <v>347</v>
      </c>
      <c r="C141" t="s">
        <v>146</v>
      </c>
      <c r="D141" t="s">
        <v>284</v>
      </c>
      <c r="E141" t="s">
        <v>284</v>
      </c>
      <c r="F141" t="s">
        <v>284</v>
      </c>
      <c r="G141" t="s">
        <v>284</v>
      </c>
      <c r="H141" t="s">
        <v>314</v>
      </c>
      <c r="I141">
        <v>14.12</v>
      </c>
      <c r="J141" t="s">
        <v>333</v>
      </c>
      <c r="K141" t="s">
        <v>284</v>
      </c>
      <c r="L141">
        <v>401.64</v>
      </c>
      <c r="M141" t="s">
        <v>284</v>
      </c>
      <c r="N141" t="s">
        <v>284</v>
      </c>
      <c r="O141" t="s">
        <v>284</v>
      </c>
      <c r="P141" t="s">
        <v>284</v>
      </c>
      <c r="Q141" t="s">
        <v>284</v>
      </c>
    </row>
    <row r="142" spans="1:17" x14ac:dyDescent="0.2">
      <c r="A142" t="s">
        <v>348</v>
      </c>
      <c r="B142" t="s">
        <v>349</v>
      </c>
      <c r="C142" t="s">
        <v>147</v>
      </c>
      <c r="D142" t="s">
        <v>284</v>
      </c>
      <c r="E142" t="s">
        <v>284</v>
      </c>
      <c r="F142" t="s">
        <v>284</v>
      </c>
      <c r="G142" t="s">
        <v>284</v>
      </c>
      <c r="H142" t="s">
        <v>314</v>
      </c>
      <c r="I142" t="s">
        <v>284</v>
      </c>
      <c r="J142">
        <v>68.28</v>
      </c>
      <c r="K142" t="s">
        <v>284</v>
      </c>
      <c r="L142">
        <v>966.84</v>
      </c>
      <c r="M142" t="s">
        <v>284</v>
      </c>
      <c r="N142" t="s">
        <v>350</v>
      </c>
      <c r="O142" t="s">
        <v>284</v>
      </c>
      <c r="P142" t="s">
        <v>284</v>
      </c>
      <c r="Q142" t="s">
        <v>284</v>
      </c>
    </row>
    <row r="143" spans="1:17" x14ac:dyDescent="0.2">
      <c r="A143" t="s">
        <v>351</v>
      </c>
      <c r="B143" t="s">
        <v>352</v>
      </c>
      <c r="C143" t="s">
        <v>148</v>
      </c>
      <c r="D143" t="s">
        <v>284</v>
      </c>
      <c r="E143" t="s">
        <v>284</v>
      </c>
      <c r="F143" t="s">
        <v>284</v>
      </c>
      <c r="G143" t="s">
        <v>284</v>
      </c>
      <c r="H143" t="s">
        <v>284</v>
      </c>
      <c r="I143" t="s">
        <v>284</v>
      </c>
      <c r="J143">
        <v>8.52</v>
      </c>
      <c r="K143" t="s">
        <v>284</v>
      </c>
      <c r="L143">
        <v>760.45</v>
      </c>
      <c r="M143" t="s">
        <v>284</v>
      </c>
      <c r="N143" t="s">
        <v>284</v>
      </c>
      <c r="O143" t="s">
        <v>284</v>
      </c>
      <c r="P143" t="s">
        <v>284</v>
      </c>
      <c r="Q143" t="s">
        <v>284</v>
      </c>
    </row>
    <row r="144" spans="1:17" x14ac:dyDescent="0.2">
      <c r="A144" t="s">
        <v>353</v>
      </c>
      <c r="B144" t="s">
        <v>354</v>
      </c>
      <c r="C144" t="s">
        <v>149</v>
      </c>
      <c r="D144" t="s">
        <v>284</v>
      </c>
      <c r="E144" t="s">
        <v>284</v>
      </c>
      <c r="F144" t="s">
        <v>284</v>
      </c>
      <c r="G144" t="s">
        <v>284</v>
      </c>
      <c r="H144" t="s">
        <v>284</v>
      </c>
      <c r="I144" t="s">
        <v>284</v>
      </c>
      <c r="J144" t="s">
        <v>355</v>
      </c>
      <c r="K144" t="s">
        <v>284</v>
      </c>
      <c r="L144">
        <v>553.75</v>
      </c>
      <c r="M144" t="s">
        <v>284</v>
      </c>
      <c r="N144" t="s">
        <v>284</v>
      </c>
      <c r="O144" t="s">
        <v>284</v>
      </c>
      <c r="P144" t="s">
        <v>284</v>
      </c>
      <c r="Q144" t="s">
        <v>284</v>
      </c>
    </row>
    <row r="145" spans="1:17" x14ac:dyDescent="0.2">
      <c r="A145" t="s">
        <v>356</v>
      </c>
      <c r="B145" t="s">
        <v>357</v>
      </c>
      <c r="C145" t="s">
        <v>150</v>
      </c>
      <c r="D145" t="s">
        <v>284</v>
      </c>
      <c r="E145" t="s">
        <v>284</v>
      </c>
      <c r="F145" t="s">
        <v>284</v>
      </c>
      <c r="G145" t="s">
        <v>284</v>
      </c>
      <c r="H145" t="s">
        <v>314</v>
      </c>
      <c r="I145">
        <v>148.62</v>
      </c>
      <c r="J145">
        <v>34.6</v>
      </c>
      <c r="K145">
        <v>195.65</v>
      </c>
      <c r="L145">
        <v>2079.09</v>
      </c>
      <c r="M145" t="s">
        <v>284</v>
      </c>
      <c r="N145" t="s">
        <v>284</v>
      </c>
      <c r="O145" t="s">
        <v>284</v>
      </c>
      <c r="P145" t="s">
        <v>284</v>
      </c>
      <c r="Q145" t="s">
        <v>284</v>
      </c>
    </row>
    <row r="146" spans="1:17" x14ac:dyDescent="0.2">
      <c r="A146" t="s">
        <v>358</v>
      </c>
      <c r="B146" t="s">
        <v>359</v>
      </c>
      <c r="C146" t="s">
        <v>151</v>
      </c>
      <c r="D146" t="s">
        <v>284</v>
      </c>
      <c r="E146" t="s">
        <v>284</v>
      </c>
      <c r="F146" t="s">
        <v>284</v>
      </c>
      <c r="G146" t="s">
        <v>284</v>
      </c>
      <c r="H146">
        <v>9.36</v>
      </c>
      <c r="I146">
        <v>36.630000000000003</v>
      </c>
      <c r="J146">
        <v>123.52</v>
      </c>
      <c r="K146">
        <v>32.6</v>
      </c>
      <c r="L146">
        <v>2612.85</v>
      </c>
      <c r="M146" t="s">
        <v>284</v>
      </c>
      <c r="N146" t="s">
        <v>284</v>
      </c>
      <c r="O146" t="s">
        <v>284</v>
      </c>
      <c r="P146" t="s">
        <v>284</v>
      </c>
      <c r="Q146" t="s">
        <v>284</v>
      </c>
    </row>
    <row r="147" spans="1:17" x14ac:dyDescent="0.2">
      <c r="A147" t="s">
        <v>360</v>
      </c>
      <c r="B147" t="s">
        <v>361</v>
      </c>
      <c r="C147" t="s">
        <v>152</v>
      </c>
      <c r="D147" t="s">
        <v>284</v>
      </c>
      <c r="E147" t="s">
        <v>284</v>
      </c>
      <c r="F147" t="s">
        <v>284</v>
      </c>
      <c r="G147" t="s">
        <v>284</v>
      </c>
      <c r="H147">
        <v>9.36</v>
      </c>
      <c r="I147">
        <v>645.66999999999996</v>
      </c>
      <c r="J147">
        <v>38.44</v>
      </c>
      <c r="K147">
        <v>22.74</v>
      </c>
      <c r="L147">
        <v>391.24</v>
      </c>
      <c r="M147" t="s">
        <v>284</v>
      </c>
      <c r="N147" t="s">
        <v>284</v>
      </c>
      <c r="O147" t="s">
        <v>284</v>
      </c>
      <c r="P147" t="s">
        <v>284</v>
      </c>
      <c r="Q147" t="s">
        <v>284</v>
      </c>
    </row>
    <row r="148" spans="1:17" x14ac:dyDescent="0.2">
      <c r="A148" t="s">
        <v>362</v>
      </c>
      <c r="B148" t="s">
        <v>363</v>
      </c>
      <c r="C148" t="s">
        <v>153</v>
      </c>
      <c r="D148" t="s">
        <v>284</v>
      </c>
      <c r="E148" t="s">
        <v>284</v>
      </c>
      <c r="F148" t="s">
        <v>284</v>
      </c>
      <c r="G148" t="s">
        <v>284</v>
      </c>
      <c r="H148" t="s">
        <v>284</v>
      </c>
      <c r="I148">
        <v>59.92</v>
      </c>
      <c r="J148">
        <v>44.69</v>
      </c>
      <c r="K148">
        <v>18.989999999999998</v>
      </c>
      <c r="L148">
        <v>1411.33</v>
      </c>
      <c r="M148" t="s">
        <v>284</v>
      </c>
      <c r="N148" t="s">
        <v>284</v>
      </c>
      <c r="O148" t="s">
        <v>284</v>
      </c>
      <c r="P148" t="s">
        <v>284</v>
      </c>
      <c r="Q148" t="s">
        <v>284</v>
      </c>
    </row>
    <row r="149" spans="1:17" x14ac:dyDescent="0.2">
      <c r="A149" t="s">
        <v>364</v>
      </c>
      <c r="B149" t="s">
        <v>365</v>
      </c>
      <c r="C149" t="s">
        <v>154</v>
      </c>
      <c r="D149" t="s">
        <v>284</v>
      </c>
      <c r="E149" t="s">
        <v>284</v>
      </c>
      <c r="F149" t="s">
        <v>284</v>
      </c>
      <c r="G149" t="s">
        <v>284</v>
      </c>
      <c r="H149" t="s">
        <v>284</v>
      </c>
      <c r="I149">
        <v>32.46</v>
      </c>
      <c r="J149">
        <v>9.42</v>
      </c>
      <c r="K149" t="s">
        <v>284</v>
      </c>
      <c r="L149">
        <v>1058.3800000000001</v>
      </c>
      <c r="M149" t="s">
        <v>284</v>
      </c>
      <c r="N149" t="s">
        <v>284</v>
      </c>
      <c r="O149" t="s">
        <v>284</v>
      </c>
      <c r="P149" t="s">
        <v>284</v>
      </c>
      <c r="Q149" t="s">
        <v>284</v>
      </c>
    </row>
    <row r="150" spans="1:17" x14ac:dyDescent="0.2">
      <c r="A150" t="s">
        <v>366</v>
      </c>
      <c r="B150" t="s">
        <v>367</v>
      </c>
      <c r="C150" t="s">
        <v>155</v>
      </c>
      <c r="D150" t="s">
        <v>284</v>
      </c>
      <c r="E150" t="s">
        <v>284</v>
      </c>
      <c r="F150" t="s">
        <v>284</v>
      </c>
      <c r="G150" t="s">
        <v>284</v>
      </c>
      <c r="H150" t="s">
        <v>304</v>
      </c>
      <c r="I150" t="s">
        <v>284</v>
      </c>
      <c r="J150" t="s">
        <v>368</v>
      </c>
      <c r="K150" t="s">
        <v>284</v>
      </c>
      <c r="L150">
        <v>294.93</v>
      </c>
      <c r="M150" t="s">
        <v>284</v>
      </c>
      <c r="N150" t="s">
        <v>284</v>
      </c>
      <c r="O150" t="s">
        <v>284</v>
      </c>
      <c r="P150" t="s">
        <v>284</v>
      </c>
      <c r="Q150" t="s">
        <v>284</v>
      </c>
    </row>
    <row r="151" spans="1:17" x14ac:dyDescent="0.2">
      <c r="A151" t="s">
        <v>369</v>
      </c>
      <c r="B151" t="s">
        <v>370</v>
      </c>
      <c r="C151" t="s">
        <v>156</v>
      </c>
      <c r="D151" t="s">
        <v>284</v>
      </c>
      <c r="E151" t="s">
        <v>284</v>
      </c>
      <c r="F151" t="s">
        <v>284</v>
      </c>
      <c r="G151" t="s">
        <v>284</v>
      </c>
      <c r="H151" t="s">
        <v>284</v>
      </c>
      <c r="I151">
        <v>36.630000000000003</v>
      </c>
      <c r="J151">
        <v>12.03</v>
      </c>
      <c r="K151" t="s">
        <v>284</v>
      </c>
      <c r="L151">
        <v>362.9</v>
      </c>
      <c r="M151" t="s">
        <v>284</v>
      </c>
      <c r="N151" t="s">
        <v>284</v>
      </c>
      <c r="O151" t="s">
        <v>284</v>
      </c>
      <c r="P151" t="s">
        <v>284</v>
      </c>
      <c r="Q151" t="s">
        <v>284</v>
      </c>
    </row>
    <row r="152" spans="1:17" x14ac:dyDescent="0.2">
      <c r="A152" t="s">
        <v>371</v>
      </c>
      <c r="B152" t="s">
        <v>372</v>
      </c>
      <c r="C152" t="s">
        <v>157</v>
      </c>
      <c r="D152" t="s">
        <v>284</v>
      </c>
      <c r="E152" t="s">
        <v>284</v>
      </c>
      <c r="F152" t="s">
        <v>284</v>
      </c>
      <c r="G152" t="s">
        <v>284</v>
      </c>
      <c r="H152" t="s">
        <v>304</v>
      </c>
      <c r="I152">
        <v>183.71</v>
      </c>
      <c r="J152">
        <v>14.13</v>
      </c>
      <c r="K152" t="s">
        <v>373</v>
      </c>
      <c r="L152">
        <v>290.2</v>
      </c>
      <c r="M152" t="s">
        <v>284</v>
      </c>
      <c r="N152" t="s">
        <v>284</v>
      </c>
      <c r="O152" t="s">
        <v>284</v>
      </c>
      <c r="P152" t="s">
        <v>284</v>
      </c>
      <c r="Q152" t="s">
        <v>284</v>
      </c>
    </row>
    <row r="153" spans="1:17" x14ac:dyDescent="0.2">
      <c r="A153" t="s">
        <v>374</v>
      </c>
      <c r="B153" t="s">
        <v>375</v>
      </c>
      <c r="C153" t="s">
        <v>158</v>
      </c>
      <c r="D153" t="s">
        <v>284</v>
      </c>
      <c r="E153" t="s">
        <v>284</v>
      </c>
      <c r="F153" t="s">
        <v>284</v>
      </c>
      <c r="G153" t="s">
        <v>284</v>
      </c>
      <c r="H153" t="s">
        <v>284</v>
      </c>
      <c r="I153">
        <v>63.78</v>
      </c>
      <c r="J153">
        <v>23.43</v>
      </c>
      <c r="K153" t="s">
        <v>376</v>
      </c>
      <c r="L153">
        <v>646.19000000000005</v>
      </c>
      <c r="M153" t="s">
        <v>284</v>
      </c>
      <c r="N153" t="s">
        <v>284</v>
      </c>
      <c r="O153" t="s">
        <v>284</v>
      </c>
      <c r="P153" t="s">
        <v>284</v>
      </c>
      <c r="Q153" t="s">
        <v>284</v>
      </c>
    </row>
    <row r="154" spans="1:17" x14ac:dyDescent="0.2">
      <c r="A154" t="s">
        <v>377</v>
      </c>
      <c r="B154" t="s">
        <v>378</v>
      </c>
      <c r="C154" t="s">
        <v>159</v>
      </c>
      <c r="D154" t="s">
        <v>284</v>
      </c>
      <c r="E154" t="s">
        <v>284</v>
      </c>
      <c r="F154" t="s">
        <v>284</v>
      </c>
      <c r="G154" t="s">
        <v>284</v>
      </c>
      <c r="H154" t="s">
        <v>304</v>
      </c>
      <c r="I154">
        <v>591.79</v>
      </c>
      <c r="J154">
        <v>152.01</v>
      </c>
      <c r="K154">
        <v>320.95</v>
      </c>
      <c r="L154">
        <v>2976.73</v>
      </c>
      <c r="M154" t="s">
        <v>284</v>
      </c>
      <c r="N154" t="s">
        <v>284</v>
      </c>
      <c r="O154" t="s">
        <v>284</v>
      </c>
      <c r="P154" t="s">
        <v>284</v>
      </c>
      <c r="Q154" t="s">
        <v>284</v>
      </c>
    </row>
    <row r="155" spans="1:17" x14ac:dyDescent="0.2">
      <c r="A155" t="s">
        <v>379</v>
      </c>
      <c r="B155" t="s">
        <v>380</v>
      </c>
      <c r="C155" t="s">
        <v>160</v>
      </c>
      <c r="D155" t="s">
        <v>284</v>
      </c>
      <c r="E155" t="s">
        <v>284</v>
      </c>
      <c r="F155" t="s">
        <v>284</v>
      </c>
      <c r="G155" t="s">
        <v>284</v>
      </c>
      <c r="H155" t="s">
        <v>314</v>
      </c>
      <c r="I155">
        <v>17.2</v>
      </c>
      <c r="J155">
        <v>17.510000000000002</v>
      </c>
      <c r="K155">
        <v>3.88</v>
      </c>
      <c r="L155">
        <v>867.75</v>
      </c>
      <c r="M155" t="s">
        <v>284</v>
      </c>
      <c r="N155" t="s">
        <v>284</v>
      </c>
      <c r="O155" t="s">
        <v>284</v>
      </c>
      <c r="P155" t="s">
        <v>284</v>
      </c>
      <c r="Q155" t="s">
        <v>284</v>
      </c>
    </row>
    <row r="156" spans="1:17" x14ac:dyDescent="0.2">
      <c r="A156" t="s">
        <v>381</v>
      </c>
      <c r="B156" t="s">
        <v>382</v>
      </c>
      <c r="C156" t="s">
        <v>161</v>
      </c>
      <c r="D156" t="s">
        <v>284</v>
      </c>
      <c r="E156" t="s">
        <v>284</v>
      </c>
      <c r="F156" t="s">
        <v>284</v>
      </c>
      <c r="G156" t="s">
        <v>284</v>
      </c>
      <c r="H156">
        <v>9.36</v>
      </c>
      <c r="I156">
        <v>91.91</v>
      </c>
      <c r="J156">
        <v>21.35</v>
      </c>
      <c r="K156">
        <v>2.52</v>
      </c>
      <c r="L156">
        <v>415.83</v>
      </c>
      <c r="M156" t="s">
        <v>284</v>
      </c>
      <c r="N156" t="s">
        <v>284</v>
      </c>
      <c r="O156" t="s">
        <v>284</v>
      </c>
      <c r="P156" t="s">
        <v>284</v>
      </c>
      <c r="Q156" t="s">
        <v>284</v>
      </c>
    </row>
    <row r="157" spans="1:17" x14ac:dyDescent="0.2">
      <c r="A157" t="s">
        <v>383</v>
      </c>
      <c r="B157" t="s">
        <v>384</v>
      </c>
      <c r="C157" t="s">
        <v>162</v>
      </c>
      <c r="D157" t="s">
        <v>284</v>
      </c>
      <c r="E157" t="s">
        <v>284</v>
      </c>
      <c r="F157" t="s">
        <v>284</v>
      </c>
      <c r="G157" t="s">
        <v>284</v>
      </c>
      <c r="H157" t="s">
        <v>284</v>
      </c>
      <c r="I157">
        <v>99.21</v>
      </c>
      <c r="J157">
        <v>16.55</v>
      </c>
      <c r="K157" t="s">
        <v>385</v>
      </c>
      <c r="L157">
        <v>784.13</v>
      </c>
      <c r="M157" t="s">
        <v>284</v>
      </c>
      <c r="N157" t="s">
        <v>284</v>
      </c>
      <c r="O157" t="s">
        <v>284</v>
      </c>
      <c r="P157" t="s">
        <v>284</v>
      </c>
      <c r="Q157" t="s">
        <v>284</v>
      </c>
    </row>
    <row r="158" spans="1:17" x14ac:dyDescent="0.2">
      <c r="A158" t="s">
        <v>386</v>
      </c>
      <c r="B158" t="s">
        <v>387</v>
      </c>
      <c r="C158" t="s">
        <v>163</v>
      </c>
      <c r="D158" t="s">
        <v>284</v>
      </c>
      <c r="E158" t="s">
        <v>284</v>
      </c>
      <c r="F158" t="s">
        <v>284</v>
      </c>
      <c r="G158" t="s">
        <v>284</v>
      </c>
      <c r="H158" t="s">
        <v>290</v>
      </c>
      <c r="I158">
        <v>27.51</v>
      </c>
      <c r="J158">
        <v>6.61</v>
      </c>
      <c r="K158" t="s">
        <v>284</v>
      </c>
      <c r="L158">
        <v>429.08</v>
      </c>
      <c r="M158" t="s">
        <v>284</v>
      </c>
      <c r="N158" t="s">
        <v>284</v>
      </c>
      <c r="O158" t="s">
        <v>284</v>
      </c>
      <c r="P158" t="s">
        <v>284</v>
      </c>
      <c r="Q158" t="s">
        <v>284</v>
      </c>
    </row>
    <row r="159" spans="1:17" x14ac:dyDescent="0.2">
      <c r="A159" t="s">
        <v>388</v>
      </c>
      <c r="B159" t="s">
        <v>389</v>
      </c>
      <c r="C159" t="s">
        <v>164</v>
      </c>
      <c r="D159" t="s">
        <v>284</v>
      </c>
      <c r="E159" t="s">
        <v>284</v>
      </c>
      <c r="F159" t="s">
        <v>284</v>
      </c>
      <c r="G159" t="s">
        <v>284</v>
      </c>
      <c r="H159" t="s">
        <v>314</v>
      </c>
      <c r="I159">
        <v>84.53</v>
      </c>
      <c r="J159">
        <v>22.95</v>
      </c>
      <c r="K159" t="s">
        <v>390</v>
      </c>
      <c r="L159">
        <v>288.31</v>
      </c>
      <c r="M159" t="s">
        <v>284</v>
      </c>
      <c r="N159" t="s">
        <v>284</v>
      </c>
      <c r="O159" t="s">
        <v>284</v>
      </c>
      <c r="P159" t="s">
        <v>284</v>
      </c>
      <c r="Q159" t="s">
        <v>284</v>
      </c>
    </row>
    <row r="160" spans="1:17" x14ac:dyDescent="0.2">
      <c r="A160" t="s">
        <v>391</v>
      </c>
      <c r="B160" t="s">
        <v>392</v>
      </c>
      <c r="C160" t="s">
        <v>165</v>
      </c>
      <c r="D160" t="s">
        <v>284</v>
      </c>
      <c r="E160" t="s">
        <v>284</v>
      </c>
      <c r="F160" t="s">
        <v>284</v>
      </c>
      <c r="G160" t="s">
        <v>284</v>
      </c>
      <c r="H160" t="s">
        <v>284</v>
      </c>
      <c r="I160">
        <v>11.75</v>
      </c>
      <c r="J160">
        <v>3.21</v>
      </c>
      <c r="K160" t="s">
        <v>393</v>
      </c>
      <c r="L160">
        <v>277.92</v>
      </c>
      <c r="M160" t="s">
        <v>284</v>
      </c>
      <c r="N160" t="s">
        <v>284</v>
      </c>
      <c r="O160" t="s">
        <v>284</v>
      </c>
      <c r="P160" t="s">
        <v>284</v>
      </c>
      <c r="Q160" t="s">
        <v>284</v>
      </c>
    </row>
    <row r="161" spans="1:17" x14ac:dyDescent="0.2">
      <c r="A161" t="s">
        <v>394</v>
      </c>
      <c r="B161" t="s">
        <v>395</v>
      </c>
      <c r="C161" t="s">
        <v>166</v>
      </c>
      <c r="D161" t="s">
        <v>284</v>
      </c>
      <c r="E161" t="s">
        <v>284</v>
      </c>
      <c r="F161" t="s">
        <v>284</v>
      </c>
      <c r="G161" t="s">
        <v>284</v>
      </c>
      <c r="H161" t="s">
        <v>284</v>
      </c>
      <c r="I161">
        <v>35.94</v>
      </c>
      <c r="J161">
        <v>37.4</v>
      </c>
      <c r="K161" t="s">
        <v>297</v>
      </c>
      <c r="L161">
        <v>459.41</v>
      </c>
      <c r="M161" t="s">
        <v>284</v>
      </c>
      <c r="N161" t="s">
        <v>284</v>
      </c>
      <c r="O161" t="s">
        <v>284</v>
      </c>
      <c r="P161" t="s">
        <v>284</v>
      </c>
      <c r="Q161" t="s">
        <v>284</v>
      </c>
    </row>
    <row r="162" spans="1:17" x14ac:dyDescent="0.2">
      <c r="A162" t="s">
        <v>396</v>
      </c>
      <c r="B162" t="s">
        <v>397</v>
      </c>
      <c r="C162" t="s">
        <v>167</v>
      </c>
      <c r="D162" t="s">
        <v>284</v>
      </c>
      <c r="E162" t="s">
        <v>284</v>
      </c>
      <c r="F162" t="s">
        <v>284</v>
      </c>
      <c r="G162" t="s">
        <v>284</v>
      </c>
      <c r="H162" t="s">
        <v>314</v>
      </c>
      <c r="I162" t="s">
        <v>398</v>
      </c>
      <c r="J162">
        <v>13.49</v>
      </c>
      <c r="K162">
        <v>1.64</v>
      </c>
      <c r="L162">
        <v>455.61</v>
      </c>
      <c r="M162" t="s">
        <v>284</v>
      </c>
      <c r="N162" t="s">
        <v>284</v>
      </c>
      <c r="O162" t="s">
        <v>284</v>
      </c>
      <c r="P162" t="s">
        <v>284</v>
      </c>
      <c r="Q162" t="s">
        <v>284</v>
      </c>
    </row>
    <row r="163" spans="1:17" x14ac:dyDescent="0.2">
      <c r="A163" t="s">
        <v>399</v>
      </c>
      <c r="B163" t="s">
        <v>472</v>
      </c>
      <c r="C163" t="s">
        <v>168</v>
      </c>
      <c r="D163" t="s">
        <v>284</v>
      </c>
      <c r="E163" t="s">
        <v>284</v>
      </c>
      <c r="F163" t="s">
        <v>284</v>
      </c>
      <c r="G163" t="s">
        <v>284</v>
      </c>
      <c r="H163" t="s">
        <v>314</v>
      </c>
      <c r="I163">
        <v>20.96</v>
      </c>
      <c r="J163">
        <v>2.3199999999999998</v>
      </c>
      <c r="K163" t="s">
        <v>284</v>
      </c>
      <c r="L163">
        <v>93.27</v>
      </c>
      <c r="M163" t="s">
        <v>284</v>
      </c>
      <c r="N163" t="s">
        <v>284</v>
      </c>
      <c r="O163" t="s">
        <v>284</v>
      </c>
      <c r="P163" t="s">
        <v>284</v>
      </c>
      <c r="Q163" t="s">
        <v>284</v>
      </c>
    </row>
    <row r="164" spans="1:17" x14ac:dyDescent="0.2">
      <c r="A164" t="s">
        <v>399</v>
      </c>
      <c r="B164" t="s">
        <v>473</v>
      </c>
      <c r="C164" t="s">
        <v>168</v>
      </c>
      <c r="D164" t="s">
        <v>284</v>
      </c>
      <c r="E164" t="s">
        <v>284</v>
      </c>
      <c r="F164" t="s">
        <v>284</v>
      </c>
      <c r="G164" t="s">
        <v>284</v>
      </c>
      <c r="H164" t="s">
        <v>290</v>
      </c>
      <c r="I164">
        <v>11.75</v>
      </c>
      <c r="J164" t="s">
        <v>338</v>
      </c>
      <c r="K164" t="s">
        <v>284</v>
      </c>
      <c r="L164">
        <v>81.239999999999995</v>
      </c>
      <c r="M164" t="s">
        <v>284</v>
      </c>
      <c r="N164" t="s">
        <v>284</v>
      </c>
      <c r="O164" t="s">
        <v>284</v>
      </c>
      <c r="P164" t="s">
        <v>284</v>
      </c>
      <c r="Q164" t="s">
        <v>284</v>
      </c>
    </row>
    <row r="165" spans="1:17" x14ac:dyDescent="0.2">
      <c r="A165" t="s">
        <v>403</v>
      </c>
      <c r="B165" t="s">
        <v>474</v>
      </c>
      <c r="C165" t="s">
        <v>169</v>
      </c>
      <c r="D165" t="s">
        <v>284</v>
      </c>
      <c r="E165" t="s">
        <v>284</v>
      </c>
      <c r="F165" t="s">
        <v>284</v>
      </c>
      <c r="G165" t="s">
        <v>284</v>
      </c>
      <c r="H165" t="s">
        <v>314</v>
      </c>
      <c r="I165">
        <v>49.45</v>
      </c>
      <c r="J165">
        <v>3.03</v>
      </c>
      <c r="K165" t="s">
        <v>284</v>
      </c>
      <c r="L165">
        <v>169.43</v>
      </c>
      <c r="M165" t="s">
        <v>284</v>
      </c>
      <c r="N165" t="s">
        <v>284</v>
      </c>
      <c r="O165" t="s">
        <v>284</v>
      </c>
      <c r="P165" t="s">
        <v>284</v>
      </c>
      <c r="Q165" t="s">
        <v>284</v>
      </c>
    </row>
    <row r="166" spans="1:17" x14ac:dyDescent="0.2">
      <c r="A166" t="s">
        <v>403</v>
      </c>
      <c r="B166" t="s">
        <v>475</v>
      </c>
      <c r="C166" t="s">
        <v>169</v>
      </c>
      <c r="D166" t="s">
        <v>284</v>
      </c>
      <c r="E166" t="s">
        <v>284</v>
      </c>
      <c r="F166" t="s">
        <v>284</v>
      </c>
      <c r="G166" t="s">
        <v>284</v>
      </c>
      <c r="H166" t="s">
        <v>287</v>
      </c>
      <c r="I166">
        <v>44.11</v>
      </c>
      <c r="J166" t="s">
        <v>471</v>
      </c>
      <c r="K166" t="s">
        <v>284</v>
      </c>
      <c r="L166">
        <v>188.61</v>
      </c>
      <c r="M166" t="s">
        <v>284</v>
      </c>
      <c r="N166" t="s">
        <v>284</v>
      </c>
      <c r="O166" t="s">
        <v>284</v>
      </c>
      <c r="P166" t="s">
        <v>284</v>
      </c>
      <c r="Q166" t="s">
        <v>284</v>
      </c>
    </row>
    <row r="167" spans="1:17" x14ac:dyDescent="0.2">
      <c r="A167" t="s">
        <v>406</v>
      </c>
      <c r="B167" t="s">
        <v>476</v>
      </c>
      <c r="C167" t="s">
        <v>170</v>
      </c>
      <c r="D167" t="s">
        <v>284</v>
      </c>
      <c r="E167" t="s">
        <v>284</v>
      </c>
      <c r="F167" t="s">
        <v>284</v>
      </c>
      <c r="G167" t="s">
        <v>284</v>
      </c>
      <c r="H167" t="s">
        <v>284</v>
      </c>
      <c r="I167">
        <v>72.680000000000007</v>
      </c>
      <c r="J167">
        <v>4.33</v>
      </c>
      <c r="K167" t="s">
        <v>477</v>
      </c>
      <c r="L167">
        <v>256.14999999999998</v>
      </c>
      <c r="M167" t="s">
        <v>284</v>
      </c>
      <c r="N167" t="s">
        <v>284</v>
      </c>
      <c r="O167" t="s">
        <v>284</v>
      </c>
      <c r="P167" t="s">
        <v>284</v>
      </c>
      <c r="Q167" t="s">
        <v>284</v>
      </c>
    </row>
    <row r="168" spans="1:17" x14ac:dyDescent="0.2">
      <c r="A168" t="s">
        <v>406</v>
      </c>
      <c r="B168" t="s">
        <v>478</v>
      </c>
      <c r="C168" t="s">
        <v>170</v>
      </c>
      <c r="D168" t="s">
        <v>284</v>
      </c>
      <c r="E168" t="s">
        <v>284</v>
      </c>
      <c r="F168" t="s">
        <v>284</v>
      </c>
      <c r="G168" t="s">
        <v>284</v>
      </c>
      <c r="H168" t="s">
        <v>284</v>
      </c>
      <c r="I168">
        <v>55.37</v>
      </c>
      <c r="J168">
        <v>4.58</v>
      </c>
      <c r="K168" t="s">
        <v>373</v>
      </c>
      <c r="L168">
        <v>232.45</v>
      </c>
      <c r="M168" t="s">
        <v>284</v>
      </c>
      <c r="N168" t="s">
        <v>284</v>
      </c>
      <c r="O168" t="s">
        <v>284</v>
      </c>
      <c r="P168" t="s">
        <v>284</v>
      </c>
      <c r="Q168" t="s">
        <v>284</v>
      </c>
    </row>
    <row r="169" spans="1:17" x14ac:dyDescent="0.2">
      <c r="A169" t="s">
        <v>408</v>
      </c>
      <c r="B169" t="s">
        <v>479</v>
      </c>
      <c r="C169" t="s">
        <v>171</v>
      </c>
      <c r="D169" t="s">
        <v>284</v>
      </c>
      <c r="E169" t="s">
        <v>284</v>
      </c>
      <c r="F169" t="s">
        <v>284</v>
      </c>
      <c r="G169" t="s">
        <v>284</v>
      </c>
      <c r="H169" t="s">
        <v>314</v>
      </c>
      <c r="I169">
        <v>42.76</v>
      </c>
      <c r="J169">
        <v>13.25</v>
      </c>
      <c r="K169">
        <v>11.44</v>
      </c>
      <c r="L169">
        <v>571.96</v>
      </c>
      <c r="M169" t="s">
        <v>284</v>
      </c>
      <c r="N169" t="s">
        <v>284</v>
      </c>
      <c r="O169" t="s">
        <v>284</v>
      </c>
      <c r="P169" t="s">
        <v>284</v>
      </c>
      <c r="Q169" t="s">
        <v>284</v>
      </c>
    </row>
    <row r="170" spans="1:17" x14ac:dyDescent="0.2">
      <c r="A170" t="s">
        <v>408</v>
      </c>
      <c r="B170" t="s">
        <v>480</v>
      </c>
      <c r="C170" t="s">
        <v>171</v>
      </c>
      <c r="D170" t="s">
        <v>284</v>
      </c>
      <c r="E170" t="s">
        <v>284</v>
      </c>
      <c r="F170" t="s">
        <v>284</v>
      </c>
      <c r="G170" t="s">
        <v>284</v>
      </c>
      <c r="H170" t="s">
        <v>314</v>
      </c>
      <c r="I170">
        <v>35.94</v>
      </c>
      <c r="J170">
        <v>9.09</v>
      </c>
      <c r="K170">
        <v>7.27</v>
      </c>
      <c r="L170">
        <v>461.31</v>
      </c>
      <c r="M170" t="s">
        <v>284</v>
      </c>
      <c r="N170" t="s">
        <v>284</v>
      </c>
      <c r="O170" t="s">
        <v>284</v>
      </c>
      <c r="P170" t="s">
        <v>284</v>
      </c>
      <c r="Q170" t="s">
        <v>284</v>
      </c>
    </row>
    <row r="171" spans="1:17" x14ac:dyDescent="0.2">
      <c r="A171" t="s">
        <v>410</v>
      </c>
      <c r="B171" t="s">
        <v>481</v>
      </c>
      <c r="C171" t="s">
        <v>172</v>
      </c>
      <c r="D171" t="s">
        <v>284</v>
      </c>
      <c r="E171" t="s">
        <v>284</v>
      </c>
      <c r="F171" t="s">
        <v>284</v>
      </c>
      <c r="G171" t="s">
        <v>284</v>
      </c>
      <c r="H171" t="s">
        <v>284</v>
      </c>
      <c r="I171" t="s">
        <v>284</v>
      </c>
      <c r="J171" t="s">
        <v>284</v>
      </c>
      <c r="K171" t="s">
        <v>284</v>
      </c>
      <c r="L171">
        <v>118.97</v>
      </c>
      <c r="M171" t="s">
        <v>284</v>
      </c>
      <c r="N171" t="s">
        <v>284</v>
      </c>
      <c r="O171" t="s">
        <v>284</v>
      </c>
      <c r="P171" t="s">
        <v>284</v>
      </c>
      <c r="Q171" t="s">
        <v>284</v>
      </c>
    </row>
    <row r="172" spans="1:17" x14ac:dyDescent="0.2">
      <c r="A172" t="s">
        <v>410</v>
      </c>
      <c r="B172" t="s">
        <v>482</v>
      </c>
      <c r="C172" t="s">
        <v>172</v>
      </c>
      <c r="D172" t="s">
        <v>284</v>
      </c>
      <c r="E172" t="s">
        <v>284</v>
      </c>
      <c r="F172" t="s">
        <v>284</v>
      </c>
      <c r="G172" t="s">
        <v>284</v>
      </c>
      <c r="H172" t="s">
        <v>284</v>
      </c>
      <c r="I172" t="s">
        <v>483</v>
      </c>
      <c r="J172" t="s">
        <v>284</v>
      </c>
      <c r="K172" t="s">
        <v>284</v>
      </c>
      <c r="L172">
        <v>119.95</v>
      </c>
      <c r="M172" t="s">
        <v>284</v>
      </c>
      <c r="N172" t="s">
        <v>284</v>
      </c>
      <c r="O172" t="s">
        <v>284</v>
      </c>
      <c r="P172" t="s">
        <v>284</v>
      </c>
      <c r="Q172" t="s">
        <v>284</v>
      </c>
    </row>
    <row r="173" spans="1:17" x14ac:dyDescent="0.2">
      <c r="A173" t="s">
        <v>412</v>
      </c>
      <c r="B173" t="s">
        <v>484</v>
      </c>
      <c r="C173" t="s">
        <v>173</v>
      </c>
      <c r="D173">
        <v>162.06</v>
      </c>
      <c r="E173" t="s">
        <v>284</v>
      </c>
      <c r="F173" t="s">
        <v>284</v>
      </c>
      <c r="G173" t="s">
        <v>284</v>
      </c>
      <c r="H173" t="s">
        <v>284</v>
      </c>
      <c r="I173">
        <v>59.27</v>
      </c>
      <c r="J173">
        <v>19.920000000000002</v>
      </c>
      <c r="K173">
        <v>9.24</v>
      </c>
      <c r="L173">
        <v>705.52</v>
      </c>
      <c r="M173" t="s">
        <v>284</v>
      </c>
      <c r="N173" t="s">
        <v>284</v>
      </c>
      <c r="O173" t="s">
        <v>284</v>
      </c>
      <c r="P173" t="s">
        <v>284</v>
      </c>
      <c r="Q173" t="s">
        <v>284</v>
      </c>
    </row>
    <row r="174" spans="1:17" x14ac:dyDescent="0.2">
      <c r="A174" t="s">
        <v>412</v>
      </c>
      <c r="B174" t="s">
        <v>485</v>
      </c>
      <c r="C174" t="s">
        <v>173</v>
      </c>
      <c r="D174">
        <v>178.85</v>
      </c>
      <c r="E174" t="s">
        <v>284</v>
      </c>
      <c r="F174" t="s">
        <v>284</v>
      </c>
      <c r="G174" t="s">
        <v>284</v>
      </c>
      <c r="H174" t="s">
        <v>284</v>
      </c>
      <c r="I174">
        <v>43.44</v>
      </c>
      <c r="J174">
        <v>16.95</v>
      </c>
      <c r="K174">
        <v>8.77</v>
      </c>
      <c r="L174">
        <v>611.4</v>
      </c>
      <c r="M174" t="s">
        <v>284</v>
      </c>
      <c r="N174" t="s">
        <v>284</v>
      </c>
      <c r="O174" t="s">
        <v>284</v>
      </c>
      <c r="P174" t="s">
        <v>284</v>
      </c>
      <c r="Q174" t="s">
        <v>284</v>
      </c>
    </row>
    <row r="175" spans="1:17" x14ac:dyDescent="0.2">
      <c r="A175" t="s">
        <v>414</v>
      </c>
      <c r="B175" t="s">
        <v>486</v>
      </c>
      <c r="C175" t="s">
        <v>174</v>
      </c>
      <c r="D175">
        <v>97.4</v>
      </c>
      <c r="E175" t="s">
        <v>284</v>
      </c>
      <c r="F175" t="s">
        <v>284</v>
      </c>
      <c r="G175" t="s">
        <v>284</v>
      </c>
      <c r="H175" t="s">
        <v>296</v>
      </c>
      <c r="I175">
        <v>37.31</v>
      </c>
      <c r="J175">
        <v>11.87</v>
      </c>
      <c r="K175" t="s">
        <v>284</v>
      </c>
      <c r="L175">
        <v>574.84</v>
      </c>
      <c r="M175" t="s">
        <v>284</v>
      </c>
      <c r="N175" t="s">
        <v>284</v>
      </c>
      <c r="O175" t="s">
        <v>284</v>
      </c>
      <c r="P175" t="s">
        <v>284</v>
      </c>
      <c r="Q175" t="s">
        <v>284</v>
      </c>
    </row>
    <row r="176" spans="1:17" x14ac:dyDescent="0.2">
      <c r="A176" t="s">
        <v>414</v>
      </c>
      <c r="B176" t="s">
        <v>487</v>
      </c>
      <c r="C176" t="s">
        <v>174</v>
      </c>
      <c r="D176">
        <v>94.29</v>
      </c>
      <c r="E176" t="s">
        <v>284</v>
      </c>
      <c r="F176" t="s">
        <v>284</v>
      </c>
      <c r="G176" t="s">
        <v>284</v>
      </c>
      <c r="H176" t="s">
        <v>314</v>
      </c>
      <c r="I176">
        <v>33.85</v>
      </c>
      <c r="J176">
        <v>13.49</v>
      </c>
      <c r="K176" t="s">
        <v>284</v>
      </c>
      <c r="L176">
        <v>530.79999999999995</v>
      </c>
      <c r="M176" t="s">
        <v>284</v>
      </c>
      <c r="N176" t="s">
        <v>284</v>
      </c>
      <c r="O176" t="s">
        <v>284</v>
      </c>
      <c r="P176" t="s">
        <v>284</v>
      </c>
      <c r="Q176" t="s">
        <v>284</v>
      </c>
    </row>
    <row r="177" spans="1:17" x14ac:dyDescent="0.2">
      <c r="A177" t="s">
        <v>416</v>
      </c>
      <c r="B177" t="s">
        <v>488</v>
      </c>
      <c r="C177" t="s">
        <v>175</v>
      </c>
      <c r="D177" t="s">
        <v>489</v>
      </c>
      <c r="E177" t="s">
        <v>284</v>
      </c>
      <c r="F177" t="s">
        <v>284</v>
      </c>
      <c r="G177" t="s">
        <v>284</v>
      </c>
      <c r="H177" t="s">
        <v>284</v>
      </c>
      <c r="I177">
        <v>33.85</v>
      </c>
      <c r="J177">
        <v>160.72999999999999</v>
      </c>
      <c r="K177" t="s">
        <v>490</v>
      </c>
      <c r="L177">
        <v>758.48</v>
      </c>
      <c r="M177" t="s">
        <v>284</v>
      </c>
      <c r="N177" t="s">
        <v>284</v>
      </c>
      <c r="O177" t="s">
        <v>284</v>
      </c>
      <c r="P177" t="s">
        <v>284</v>
      </c>
      <c r="Q177" t="s">
        <v>284</v>
      </c>
    </row>
    <row r="178" spans="1:17" x14ac:dyDescent="0.2">
      <c r="A178" t="s">
        <v>416</v>
      </c>
      <c r="B178" t="s">
        <v>491</v>
      </c>
      <c r="C178" t="s">
        <v>175</v>
      </c>
      <c r="D178" t="s">
        <v>492</v>
      </c>
      <c r="E178" t="s">
        <v>284</v>
      </c>
      <c r="F178" t="s">
        <v>284</v>
      </c>
      <c r="G178" t="s">
        <v>284</v>
      </c>
      <c r="H178" t="s">
        <v>284</v>
      </c>
      <c r="I178">
        <v>35.94</v>
      </c>
      <c r="J178">
        <v>133.07</v>
      </c>
      <c r="K178" t="s">
        <v>284</v>
      </c>
      <c r="L178">
        <v>628.77</v>
      </c>
      <c r="M178" t="s">
        <v>284</v>
      </c>
      <c r="N178" t="s">
        <v>284</v>
      </c>
      <c r="O178" t="s">
        <v>284</v>
      </c>
      <c r="P178" t="s">
        <v>284</v>
      </c>
      <c r="Q178" t="s">
        <v>284</v>
      </c>
    </row>
    <row r="180" spans="1:17" x14ac:dyDescent="0.2">
      <c r="A180" t="s">
        <v>493</v>
      </c>
    </row>
    <row r="181" spans="1:17" x14ac:dyDescent="0.2">
      <c r="A181" t="s">
        <v>494</v>
      </c>
    </row>
    <row r="182" spans="1:17" x14ac:dyDescent="0.2">
      <c r="A182" t="s">
        <v>495</v>
      </c>
    </row>
    <row r="183" spans="1:17" x14ac:dyDescent="0.2">
      <c r="A183" t="s">
        <v>496</v>
      </c>
    </row>
    <row r="184" spans="1:17" x14ac:dyDescent="0.2">
      <c r="A184" t="s">
        <v>497</v>
      </c>
    </row>
    <row r="185" spans="1:17" x14ac:dyDescent="0.2">
      <c r="A185" t="s">
        <v>498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6D61-BBFD-A346-8739-1738DE900A17}">
  <dimension ref="A1:Q185"/>
  <sheetViews>
    <sheetView topLeftCell="A51" workbookViewId="0">
      <selection activeCell="E69" sqref="E69"/>
    </sheetView>
  </sheetViews>
  <sheetFormatPr baseColWidth="10" defaultColWidth="8.83203125" defaultRowHeight="15" x14ac:dyDescent="0.2"/>
  <cols>
    <col min="1" max="1" width="5.33203125" bestFit="1" customWidth="1"/>
    <col min="2" max="2" width="8.1640625" bestFit="1" customWidth="1"/>
    <col min="3" max="3" width="11.1640625" bestFit="1" customWidth="1"/>
    <col min="4" max="9" width="13.6640625" bestFit="1" customWidth="1"/>
    <col min="10" max="10" width="14.33203125" bestFit="1" customWidth="1"/>
    <col min="11" max="13" width="13.6640625" bestFit="1" customWidth="1"/>
    <col min="14" max="14" width="16.5" bestFit="1" customWidth="1"/>
    <col min="15" max="16" width="13.6640625" bestFit="1" customWidth="1"/>
    <col min="17" max="17" width="15.5" bestFit="1" customWidth="1"/>
  </cols>
  <sheetData>
    <row r="1" spans="1:17" x14ac:dyDescent="0.2">
      <c r="A1" s="7" t="s">
        <v>232</v>
      </c>
    </row>
    <row r="2" spans="1:17" x14ac:dyDescent="0.2">
      <c r="A2" s="7" t="s">
        <v>233</v>
      </c>
    </row>
    <row r="3" spans="1:17" x14ac:dyDescent="0.2">
      <c r="A3" s="7" t="s">
        <v>234</v>
      </c>
    </row>
    <row r="4" spans="1:17" x14ac:dyDescent="0.2">
      <c r="A4" s="7" t="s">
        <v>235</v>
      </c>
    </row>
    <row r="5" spans="1:17" x14ac:dyDescent="0.2">
      <c r="A5" s="7" t="s">
        <v>236</v>
      </c>
    </row>
    <row r="6" spans="1:17" x14ac:dyDescent="0.2">
      <c r="A6" s="7" t="s">
        <v>237</v>
      </c>
    </row>
    <row r="7" spans="1:17" x14ac:dyDescent="0.2">
      <c r="A7" s="7" t="s">
        <v>238</v>
      </c>
    </row>
    <row r="9" spans="1:17" x14ac:dyDescent="0.2">
      <c r="A9" s="7"/>
      <c r="B9" s="7"/>
      <c r="C9" s="7"/>
      <c r="D9" s="7" t="s">
        <v>239</v>
      </c>
      <c r="E9" s="7" t="s">
        <v>240</v>
      </c>
      <c r="F9" s="7" t="s">
        <v>241</v>
      </c>
      <c r="G9" s="7" t="s">
        <v>242</v>
      </c>
      <c r="H9" s="7" t="s">
        <v>243</v>
      </c>
      <c r="I9" s="7" t="s">
        <v>244</v>
      </c>
      <c r="J9" s="7" t="s">
        <v>245</v>
      </c>
      <c r="K9" s="7" t="s">
        <v>246</v>
      </c>
      <c r="L9" s="7" t="s">
        <v>247</v>
      </c>
      <c r="M9" s="7" t="s">
        <v>248</v>
      </c>
      <c r="N9" s="7" t="s">
        <v>249</v>
      </c>
      <c r="O9" s="7" t="s">
        <v>250</v>
      </c>
      <c r="P9" s="7" t="s">
        <v>251</v>
      </c>
      <c r="Q9" s="7" t="s">
        <v>252</v>
      </c>
    </row>
    <row r="10" spans="1:17" x14ac:dyDescent="0.2">
      <c r="A10" s="7" t="s">
        <v>116</v>
      </c>
      <c r="B10" s="7" t="s">
        <v>253</v>
      </c>
      <c r="C10" s="7" t="s">
        <v>254</v>
      </c>
      <c r="D10" s="7" t="s">
        <v>499</v>
      </c>
      <c r="E10" s="7" t="s">
        <v>499</v>
      </c>
      <c r="F10" s="7" t="s">
        <v>499</v>
      </c>
      <c r="G10" s="7" t="s">
        <v>499</v>
      </c>
      <c r="H10" s="7" t="s">
        <v>499</v>
      </c>
      <c r="I10" s="7" t="s">
        <v>499</v>
      </c>
      <c r="J10" s="7" t="s">
        <v>499</v>
      </c>
      <c r="K10" s="7" t="s">
        <v>499</v>
      </c>
      <c r="L10" s="7" t="s">
        <v>499</v>
      </c>
      <c r="M10" s="7" t="s">
        <v>499</v>
      </c>
      <c r="N10" s="7" t="s">
        <v>499</v>
      </c>
      <c r="O10" s="7" t="s">
        <v>499</v>
      </c>
      <c r="P10" s="7" t="s">
        <v>499</v>
      </c>
      <c r="Q10" s="7" t="s">
        <v>499</v>
      </c>
    </row>
    <row r="11" spans="1:17" x14ac:dyDescent="0.2">
      <c r="A11" t="s">
        <v>256</v>
      </c>
      <c r="B11" t="s">
        <v>257</v>
      </c>
    </row>
    <row r="12" spans="1:17" x14ac:dyDescent="0.2">
      <c r="A12" t="s">
        <v>258</v>
      </c>
      <c r="B12" t="s">
        <v>259</v>
      </c>
      <c r="E12">
        <v>20.09</v>
      </c>
      <c r="H12">
        <v>0</v>
      </c>
      <c r="J12">
        <v>24.11</v>
      </c>
      <c r="K12">
        <v>10.17</v>
      </c>
      <c r="M12">
        <v>0</v>
      </c>
      <c r="N12">
        <v>0</v>
      </c>
      <c r="P12">
        <v>2.34</v>
      </c>
    </row>
    <row r="13" spans="1:17" x14ac:dyDescent="0.2">
      <c r="A13" t="s">
        <v>260</v>
      </c>
      <c r="B13" t="s">
        <v>261</v>
      </c>
      <c r="D13">
        <v>3.52</v>
      </c>
      <c r="E13">
        <v>2.39</v>
      </c>
      <c r="F13">
        <v>0.33</v>
      </c>
      <c r="G13">
        <v>12.26</v>
      </c>
      <c r="H13">
        <v>8.3699999999999992</v>
      </c>
      <c r="I13">
        <v>3.87</v>
      </c>
      <c r="J13">
        <v>4.7699999999999996</v>
      </c>
      <c r="K13">
        <v>3.82</v>
      </c>
      <c r="L13">
        <v>7.43</v>
      </c>
      <c r="M13">
        <v>9.36</v>
      </c>
      <c r="N13">
        <v>6.44</v>
      </c>
      <c r="P13">
        <v>7.5</v>
      </c>
      <c r="Q13">
        <v>0</v>
      </c>
    </row>
    <row r="14" spans="1:17" x14ac:dyDescent="0.2">
      <c r="A14" t="s">
        <v>262</v>
      </c>
      <c r="B14" t="s">
        <v>263</v>
      </c>
      <c r="D14">
        <v>3.54</v>
      </c>
      <c r="E14">
        <v>2.35</v>
      </c>
      <c r="F14">
        <v>0.69</v>
      </c>
      <c r="G14">
        <v>7.35</v>
      </c>
      <c r="H14">
        <v>7.15</v>
      </c>
      <c r="I14">
        <v>0.38</v>
      </c>
      <c r="J14">
        <v>4.33</v>
      </c>
      <c r="K14">
        <v>0.9</v>
      </c>
      <c r="L14">
        <v>6.88</v>
      </c>
      <c r="M14">
        <v>2.5499999999999998</v>
      </c>
      <c r="N14">
        <v>0.3</v>
      </c>
      <c r="O14">
        <v>4.05</v>
      </c>
      <c r="P14">
        <v>3.75</v>
      </c>
      <c r="Q14">
        <v>1.5</v>
      </c>
    </row>
    <row r="15" spans="1:17" x14ac:dyDescent="0.2">
      <c r="A15" t="s">
        <v>264</v>
      </c>
      <c r="B15" t="s">
        <v>265</v>
      </c>
      <c r="D15">
        <v>5.56</v>
      </c>
      <c r="E15">
        <v>1.33</v>
      </c>
      <c r="F15">
        <v>0.25</v>
      </c>
      <c r="G15">
        <v>1.99</v>
      </c>
      <c r="H15">
        <v>0.94</v>
      </c>
      <c r="I15">
        <v>0.06</v>
      </c>
      <c r="J15">
        <v>2.75</v>
      </c>
      <c r="K15">
        <v>3.11</v>
      </c>
      <c r="L15">
        <v>0.65</v>
      </c>
      <c r="M15">
        <v>1.71</v>
      </c>
      <c r="N15">
        <v>0.67</v>
      </c>
      <c r="O15">
        <v>5.53</v>
      </c>
      <c r="P15">
        <v>3.17</v>
      </c>
      <c r="Q15">
        <v>5.2</v>
      </c>
    </row>
    <row r="16" spans="1:17" x14ac:dyDescent="0.2">
      <c r="A16" t="s">
        <v>266</v>
      </c>
      <c r="B16" t="s">
        <v>267</v>
      </c>
      <c r="D16">
        <v>4.6500000000000004</v>
      </c>
      <c r="E16">
        <v>6.21</v>
      </c>
      <c r="F16">
        <v>5.47</v>
      </c>
      <c r="G16">
        <v>0</v>
      </c>
      <c r="H16">
        <v>4.6399999999999997</v>
      </c>
      <c r="I16">
        <v>4.83</v>
      </c>
      <c r="J16">
        <v>2.4500000000000002</v>
      </c>
      <c r="K16">
        <v>1.0900000000000001</v>
      </c>
      <c r="L16">
        <v>5.68</v>
      </c>
      <c r="M16">
        <v>4.75</v>
      </c>
      <c r="N16">
        <v>0</v>
      </c>
      <c r="O16">
        <v>0</v>
      </c>
      <c r="P16">
        <v>0.17</v>
      </c>
      <c r="Q16">
        <v>0</v>
      </c>
    </row>
    <row r="17" spans="1:17" x14ac:dyDescent="0.2">
      <c r="A17" t="s">
        <v>268</v>
      </c>
      <c r="B17" t="s">
        <v>269</v>
      </c>
      <c r="D17">
        <v>10.62</v>
      </c>
      <c r="E17">
        <v>0</v>
      </c>
      <c r="F17">
        <v>19.04</v>
      </c>
      <c r="G17">
        <v>8.31</v>
      </c>
      <c r="H17">
        <v>0</v>
      </c>
      <c r="I17">
        <v>0</v>
      </c>
      <c r="J17">
        <v>6.1</v>
      </c>
      <c r="K17">
        <v>1.29</v>
      </c>
      <c r="L17">
        <v>0</v>
      </c>
      <c r="M17">
        <v>10.82</v>
      </c>
      <c r="N17">
        <v>11.7</v>
      </c>
      <c r="O17">
        <v>10.52</v>
      </c>
      <c r="P17">
        <v>4.22</v>
      </c>
      <c r="Q17">
        <v>11.65</v>
      </c>
    </row>
    <row r="18" spans="1:17" x14ac:dyDescent="0.2">
      <c r="A18" t="s">
        <v>270</v>
      </c>
      <c r="B18" t="s">
        <v>271</v>
      </c>
      <c r="D18">
        <v>29.93</v>
      </c>
      <c r="F18">
        <v>0</v>
      </c>
      <c r="G18">
        <v>0</v>
      </c>
      <c r="H18">
        <v>24.8</v>
      </c>
      <c r="I18">
        <v>0</v>
      </c>
      <c r="J18">
        <v>0</v>
      </c>
      <c r="K18">
        <v>21.8</v>
      </c>
      <c r="L18">
        <v>0</v>
      </c>
      <c r="M18">
        <v>0</v>
      </c>
      <c r="N18">
        <v>0</v>
      </c>
      <c r="O18">
        <v>0</v>
      </c>
      <c r="P18">
        <v>6.52</v>
      </c>
      <c r="Q18">
        <v>0</v>
      </c>
    </row>
    <row r="19" spans="1:17" x14ac:dyDescent="0.2">
      <c r="A19" t="s">
        <v>272</v>
      </c>
      <c r="B19" t="s">
        <v>273</v>
      </c>
      <c r="G19">
        <v>18.420000000000002</v>
      </c>
      <c r="O19">
        <v>0</v>
      </c>
      <c r="P19">
        <v>0</v>
      </c>
    </row>
    <row r="20" spans="1:17" x14ac:dyDescent="0.2">
      <c r="A20" t="s">
        <v>274</v>
      </c>
      <c r="B20" t="s">
        <v>275</v>
      </c>
      <c r="C20" t="s">
        <v>260</v>
      </c>
      <c r="D20">
        <v>4.2300000000000004</v>
      </c>
      <c r="E20">
        <v>4.8899999999999997</v>
      </c>
      <c r="F20">
        <v>2.57</v>
      </c>
      <c r="G20">
        <v>2.94</v>
      </c>
      <c r="H20">
        <v>0.7</v>
      </c>
      <c r="I20">
        <v>6.14</v>
      </c>
      <c r="J20">
        <v>6.06</v>
      </c>
      <c r="K20">
        <v>1.57</v>
      </c>
      <c r="L20">
        <v>2.02</v>
      </c>
      <c r="M20">
        <v>4.53</v>
      </c>
      <c r="N20">
        <v>0.28999999999999998</v>
      </c>
      <c r="O20">
        <v>2.66</v>
      </c>
      <c r="P20">
        <v>9.7799999999999994</v>
      </c>
      <c r="Q20">
        <v>4.09</v>
      </c>
    </row>
    <row r="21" spans="1:17" x14ac:dyDescent="0.2">
      <c r="A21" t="s">
        <v>277</v>
      </c>
      <c r="B21" t="s">
        <v>278</v>
      </c>
      <c r="C21" t="s">
        <v>264</v>
      </c>
      <c r="D21">
        <v>6.07</v>
      </c>
      <c r="E21">
        <v>5.53</v>
      </c>
      <c r="F21">
        <v>1.95</v>
      </c>
      <c r="G21">
        <v>4.1100000000000003</v>
      </c>
      <c r="H21">
        <v>5.34</v>
      </c>
      <c r="I21">
        <v>2.97</v>
      </c>
      <c r="J21">
        <v>5.57</v>
      </c>
      <c r="K21">
        <v>3.32</v>
      </c>
      <c r="L21">
        <v>5.32</v>
      </c>
      <c r="M21">
        <v>4.53</v>
      </c>
      <c r="N21">
        <v>6.61</v>
      </c>
      <c r="O21">
        <v>3.64</v>
      </c>
      <c r="P21">
        <v>0.61</v>
      </c>
      <c r="Q21">
        <v>0.88</v>
      </c>
    </row>
    <row r="22" spans="1:17" x14ac:dyDescent="0.2">
      <c r="A22" t="s">
        <v>279</v>
      </c>
      <c r="B22" t="s">
        <v>280</v>
      </c>
      <c r="C22" t="s">
        <v>268</v>
      </c>
      <c r="D22">
        <v>2.39</v>
      </c>
      <c r="E22">
        <v>0</v>
      </c>
      <c r="F22">
        <v>4.6900000000000004</v>
      </c>
      <c r="G22">
        <v>0</v>
      </c>
      <c r="H22">
        <v>4.26</v>
      </c>
      <c r="I22">
        <v>13.25</v>
      </c>
      <c r="J22">
        <v>2.46</v>
      </c>
      <c r="K22">
        <v>16.21</v>
      </c>
      <c r="L22">
        <v>11.74</v>
      </c>
      <c r="M22">
        <v>4.7300000000000004</v>
      </c>
      <c r="N22">
        <v>7.95</v>
      </c>
      <c r="O22">
        <v>7.8</v>
      </c>
      <c r="P22">
        <v>1.38</v>
      </c>
      <c r="Q22">
        <v>5.58</v>
      </c>
    </row>
    <row r="23" spans="1:17" x14ac:dyDescent="0.2">
      <c r="A23" t="s">
        <v>282</v>
      </c>
      <c r="B23" t="s">
        <v>283</v>
      </c>
      <c r="C23" t="s">
        <v>120</v>
      </c>
      <c r="I23">
        <v>8.07</v>
      </c>
      <c r="J23">
        <v>15.32</v>
      </c>
      <c r="L23">
        <v>15.5</v>
      </c>
    </row>
    <row r="24" spans="1:17" x14ac:dyDescent="0.2">
      <c r="A24" t="s">
        <v>285</v>
      </c>
      <c r="B24" t="s">
        <v>286</v>
      </c>
      <c r="C24" t="s">
        <v>121</v>
      </c>
      <c r="H24">
        <v>73.599999999999994</v>
      </c>
      <c r="I24">
        <v>9.01</v>
      </c>
      <c r="J24">
        <v>7.48</v>
      </c>
      <c r="L24">
        <v>0.64</v>
      </c>
    </row>
    <row r="25" spans="1:17" x14ac:dyDescent="0.2">
      <c r="A25" t="s">
        <v>288</v>
      </c>
      <c r="B25" t="s">
        <v>289</v>
      </c>
      <c r="C25" t="s">
        <v>122</v>
      </c>
      <c r="H25">
        <v>0</v>
      </c>
      <c r="I25">
        <v>26.14</v>
      </c>
      <c r="J25">
        <v>31.95</v>
      </c>
      <c r="L25">
        <v>19.7</v>
      </c>
    </row>
    <row r="26" spans="1:17" x14ac:dyDescent="0.2">
      <c r="A26" t="s">
        <v>291</v>
      </c>
      <c r="B26" t="s">
        <v>292</v>
      </c>
      <c r="C26" t="s">
        <v>123</v>
      </c>
      <c r="H26">
        <v>0</v>
      </c>
      <c r="I26">
        <v>5.37</v>
      </c>
      <c r="J26">
        <v>1.37</v>
      </c>
      <c r="K26">
        <v>4.04</v>
      </c>
      <c r="L26">
        <v>4.57</v>
      </c>
    </row>
    <row r="27" spans="1:17" x14ac:dyDescent="0.2">
      <c r="A27" t="s">
        <v>294</v>
      </c>
      <c r="B27" t="s">
        <v>295</v>
      </c>
      <c r="C27" t="s">
        <v>124</v>
      </c>
      <c r="H27">
        <v>0</v>
      </c>
      <c r="I27">
        <v>1.84</v>
      </c>
      <c r="J27">
        <v>12.99</v>
      </c>
      <c r="K27">
        <v>11.84</v>
      </c>
      <c r="L27">
        <v>9.1199999999999992</v>
      </c>
    </row>
    <row r="28" spans="1:17" x14ac:dyDescent="0.2">
      <c r="A28" t="s">
        <v>298</v>
      </c>
      <c r="B28" t="s">
        <v>299</v>
      </c>
      <c r="C28" t="s">
        <v>125</v>
      </c>
      <c r="H28">
        <v>59.21</v>
      </c>
      <c r="I28">
        <v>13.35</v>
      </c>
      <c r="J28">
        <v>24.31</v>
      </c>
      <c r="K28">
        <v>25.17</v>
      </c>
      <c r="L28">
        <v>6.59</v>
      </c>
    </row>
    <row r="29" spans="1:17" x14ac:dyDescent="0.2">
      <c r="A29" t="s">
        <v>300</v>
      </c>
      <c r="B29" t="s">
        <v>301</v>
      </c>
      <c r="C29" t="s">
        <v>126</v>
      </c>
      <c r="H29">
        <v>0</v>
      </c>
      <c r="I29">
        <v>6.18</v>
      </c>
      <c r="J29">
        <v>19.940000000000001</v>
      </c>
      <c r="K29">
        <v>17.37</v>
      </c>
      <c r="L29">
        <v>7.74</v>
      </c>
    </row>
    <row r="30" spans="1:17" x14ac:dyDescent="0.2">
      <c r="A30" t="s">
        <v>302</v>
      </c>
      <c r="B30" t="s">
        <v>303</v>
      </c>
      <c r="C30" t="s">
        <v>127</v>
      </c>
      <c r="H30">
        <v>97.42</v>
      </c>
      <c r="I30">
        <v>7.63</v>
      </c>
      <c r="J30">
        <v>20.07</v>
      </c>
      <c r="K30">
        <v>0</v>
      </c>
      <c r="L30">
        <v>1.61</v>
      </c>
    </row>
    <row r="31" spans="1:17" x14ac:dyDescent="0.2">
      <c r="A31" t="s">
        <v>305</v>
      </c>
      <c r="B31" t="s">
        <v>306</v>
      </c>
      <c r="C31" t="s">
        <v>128</v>
      </c>
      <c r="I31">
        <v>0</v>
      </c>
      <c r="J31">
        <v>0</v>
      </c>
      <c r="L31">
        <v>0</v>
      </c>
    </row>
    <row r="32" spans="1:17" x14ac:dyDescent="0.2">
      <c r="A32" t="s">
        <v>307</v>
      </c>
      <c r="B32" t="s">
        <v>308</v>
      </c>
      <c r="C32" t="s">
        <v>129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6" x14ac:dyDescent="0.2">
      <c r="A33" t="s">
        <v>309</v>
      </c>
      <c r="B33" t="s">
        <v>310</v>
      </c>
      <c r="C33" t="s">
        <v>130</v>
      </c>
      <c r="I33">
        <v>0</v>
      </c>
      <c r="J33">
        <v>0</v>
      </c>
      <c r="L33">
        <v>0</v>
      </c>
    </row>
    <row r="34" spans="1:16" x14ac:dyDescent="0.2">
      <c r="A34" t="s">
        <v>312</v>
      </c>
      <c r="B34" t="s">
        <v>313</v>
      </c>
      <c r="C34" t="s">
        <v>131</v>
      </c>
      <c r="H34">
        <v>0</v>
      </c>
      <c r="I34">
        <v>0</v>
      </c>
      <c r="J34">
        <v>0</v>
      </c>
      <c r="L34">
        <v>0</v>
      </c>
    </row>
    <row r="35" spans="1:16" x14ac:dyDescent="0.2">
      <c r="A35" t="s">
        <v>315</v>
      </c>
      <c r="B35" t="s">
        <v>316</v>
      </c>
      <c r="C35" t="s">
        <v>132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6" x14ac:dyDescent="0.2">
      <c r="A36" t="s">
        <v>317</v>
      </c>
      <c r="B36" t="s">
        <v>318</v>
      </c>
      <c r="C36" t="s">
        <v>133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6" x14ac:dyDescent="0.2">
      <c r="A37" t="s">
        <v>319</v>
      </c>
      <c r="B37" t="s">
        <v>320</v>
      </c>
      <c r="C37" t="s">
        <v>134</v>
      </c>
      <c r="H37">
        <v>0</v>
      </c>
      <c r="I37">
        <v>0</v>
      </c>
      <c r="J37">
        <v>0</v>
      </c>
      <c r="L37">
        <v>0</v>
      </c>
    </row>
    <row r="38" spans="1:16" x14ac:dyDescent="0.2">
      <c r="A38" t="s">
        <v>321</v>
      </c>
      <c r="B38" t="s">
        <v>322</v>
      </c>
      <c r="C38" t="s">
        <v>135</v>
      </c>
      <c r="H38">
        <v>0</v>
      </c>
      <c r="I38">
        <v>0</v>
      </c>
      <c r="J38">
        <v>0</v>
      </c>
      <c r="L38">
        <v>0</v>
      </c>
    </row>
    <row r="39" spans="1:16" x14ac:dyDescent="0.2">
      <c r="A39" t="s">
        <v>323</v>
      </c>
      <c r="B39" t="s">
        <v>324</v>
      </c>
      <c r="C39" t="s">
        <v>136</v>
      </c>
      <c r="I39">
        <v>0</v>
      </c>
      <c r="J39">
        <v>0</v>
      </c>
      <c r="L39">
        <v>0</v>
      </c>
    </row>
    <row r="40" spans="1:16" x14ac:dyDescent="0.2">
      <c r="A40" t="s">
        <v>325</v>
      </c>
      <c r="B40" t="s">
        <v>326</v>
      </c>
      <c r="C40" t="s">
        <v>137</v>
      </c>
      <c r="H40">
        <v>0</v>
      </c>
      <c r="I40">
        <v>0</v>
      </c>
      <c r="J40">
        <v>0</v>
      </c>
      <c r="K40">
        <v>0</v>
      </c>
      <c r="L40">
        <v>0</v>
      </c>
      <c r="P40">
        <v>0</v>
      </c>
    </row>
    <row r="41" spans="1:16" x14ac:dyDescent="0.2">
      <c r="A41" t="s">
        <v>327</v>
      </c>
      <c r="B41" t="s">
        <v>328</v>
      </c>
      <c r="C41" t="s">
        <v>138</v>
      </c>
      <c r="I41">
        <v>0</v>
      </c>
      <c r="J41">
        <v>0</v>
      </c>
      <c r="K41">
        <v>0</v>
      </c>
      <c r="L41">
        <v>0</v>
      </c>
    </row>
    <row r="42" spans="1:16" x14ac:dyDescent="0.2">
      <c r="A42" t="s">
        <v>329</v>
      </c>
      <c r="B42" t="s">
        <v>330</v>
      </c>
      <c r="C42" t="s">
        <v>139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6" x14ac:dyDescent="0.2">
      <c r="A43" t="s">
        <v>331</v>
      </c>
      <c r="B43" t="s">
        <v>332</v>
      </c>
      <c r="C43" t="s">
        <v>140</v>
      </c>
      <c r="I43">
        <v>0</v>
      </c>
      <c r="J43">
        <v>0</v>
      </c>
      <c r="L43">
        <v>0</v>
      </c>
    </row>
    <row r="44" spans="1:16" x14ac:dyDescent="0.2">
      <c r="A44" t="s">
        <v>334</v>
      </c>
      <c r="B44" t="s">
        <v>335</v>
      </c>
      <c r="C44" t="s">
        <v>141</v>
      </c>
      <c r="I44">
        <v>0</v>
      </c>
      <c r="J44">
        <v>0</v>
      </c>
      <c r="L44">
        <v>0</v>
      </c>
    </row>
    <row r="45" spans="1:16" x14ac:dyDescent="0.2">
      <c r="A45" t="s">
        <v>336</v>
      </c>
      <c r="B45" t="s">
        <v>337</v>
      </c>
      <c r="C45" t="s">
        <v>142</v>
      </c>
      <c r="J45">
        <v>0</v>
      </c>
      <c r="L45">
        <v>0</v>
      </c>
    </row>
    <row r="46" spans="1:16" x14ac:dyDescent="0.2">
      <c r="A46" t="s">
        <v>339</v>
      </c>
      <c r="B46" t="s">
        <v>340</v>
      </c>
      <c r="C46" t="s">
        <v>143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6" x14ac:dyDescent="0.2">
      <c r="A47" t="s">
        <v>342</v>
      </c>
      <c r="B47" t="s">
        <v>343</v>
      </c>
      <c r="C47" t="s">
        <v>144</v>
      </c>
      <c r="H47">
        <v>0</v>
      </c>
      <c r="L47">
        <v>0</v>
      </c>
    </row>
    <row r="48" spans="1:16" x14ac:dyDescent="0.2">
      <c r="A48" t="s">
        <v>344</v>
      </c>
      <c r="B48" t="s">
        <v>345</v>
      </c>
      <c r="C48" t="s">
        <v>145</v>
      </c>
      <c r="I48">
        <v>0</v>
      </c>
      <c r="J48">
        <v>0</v>
      </c>
      <c r="K48">
        <v>0</v>
      </c>
      <c r="L48">
        <v>0</v>
      </c>
    </row>
    <row r="49" spans="1:14" x14ac:dyDescent="0.2">
      <c r="A49" t="s">
        <v>346</v>
      </c>
      <c r="B49" t="s">
        <v>347</v>
      </c>
      <c r="C49" t="s">
        <v>146</v>
      </c>
      <c r="H49">
        <v>0</v>
      </c>
      <c r="I49">
        <v>0</v>
      </c>
      <c r="J49">
        <v>0</v>
      </c>
      <c r="L49">
        <v>0</v>
      </c>
    </row>
    <row r="50" spans="1:14" x14ac:dyDescent="0.2">
      <c r="A50" t="s">
        <v>348</v>
      </c>
      <c r="B50" t="s">
        <v>349</v>
      </c>
      <c r="C50" t="s">
        <v>147</v>
      </c>
      <c r="H50">
        <v>0</v>
      </c>
      <c r="J50">
        <v>0</v>
      </c>
      <c r="L50">
        <v>0</v>
      </c>
      <c r="N50">
        <v>0</v>
      </c>
    </row>
    <row r="51" spans="1:14" x14ac:dyDescent="0.2">
      <c r="A51" t="s">
        <v>351</v>
      </c>
      <c r="B51" t="s">
        <v>352</v>
      </c>
      <c r="C51" t="s">
        <v>148</v>
      </c>
      <c r="J51">
        <v>0</v>
      </c>
      <c r="L51">
        <v>0</v>
      </c>
    </row>
    <row r="52" spans="1:14" x14ac:dyDescent="0.2">
      <c r="A52" t="s">
        <v>353</v>
      </c>
      <c r="B52" t="s">
        <v>354</v>
      </c>
      <c r="C52" t="s">
        <v>149</v>
      </c>
      <c r="J52">
        <v>0</v>
      </c>
      <c r="L52">
        <v>0</v>
      </c>
    </row>
    <row r="53" spans="1:14" x14ac:dyDescent="0.2">
      <c r="A53" t="s">
        <v>356</v>
      </c>
      <c r="B53" t="s">
        <v>357</v>
      </c>
      <c r="C53" t="s">
        <v>150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4" x14ac:dyDescent="0.2">
      <c r="A54" t="s">
        <v>358</v>
      </c>
      <c r="B54" t="s">
        <v>359</v>
      </c>
      <c r="C54" t="s">
        <v>151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4" x14ac:dyDescent="0.2">
      <c r="A55" t="s">
        <v>360</v>
      </c>
      <c r="B55" t="s">
        <v>361</v>
      </c>
      <c r="C55" t="s">
        <v>152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4" x14ac:dyDescent="0.2">
      <c r="A56" t="s">
        <v>362</v>
      </c>
      <c r="B56" t="s">
        <v>363</v>
      </c>
      <c r="C56" t="s">
        <v>153</v>
      </c>
      <c r="I56">
        <v>0</v>
      </c>
      <c r="J56">
        <v>0</v>
      </c>
      <c r="K56">
        <v>0</v>
      </c>
      <c r="L56">
        <v>0</v>
      </c>
    </row>
    <row r="57" spans="1:14" x14ac:dyDescent="0.2">
      <c r="A57" t="s">
        <v>364</v>
      </c>
      <c r="B57" t="s">
        <v>365</v>
      </c>
      <c r="C57" t="s">
        <v>154</v>
      </c>
      <c r="I57">
        <v>0</v>
      </c>
      <c r="J57">
        <v>0</v>
      </c>
      <c r="L57">
        <v>0</v>
      </c>
    </row>
    <row r="58" spans="1:14" x14ac:dyDescent="0.2">
      <c r="A58" t="s">
        <v>366</v>
      </c>
      <c r="B58" t="s">
        <v>367</v>
      </c>
      <c r="C58" t="s">
        <v>155</v>
      </c>
      <c r="H58">
        <v>0</v>
      </c>
      <c r="J58">
        <v>0</v>
      </c>
      <c r="L58">
        <v>0</v>
      </c>
    </row>
    <row r="59" spans="1:14" x14ac:dyDescent="0.2">
      <c r="A59" t="s">
        <v>369</v>
      </c>
      <c r="B59" t="s">
        <v>370</v>
      </c>
      <c r="C59" t="s">
        <v>156</v>
      </c>
      <c r="I59">
        <v>0</v>
      </c>
      <c r="J59">
        <v>0</v>
      </c>
      <c r="L59">
        <v>0</v>
      </c>
    </row>
    <row r="60" spans="1:14" x14ac:dyDescent="0.2">
      <c r="A60" t="s">
        <v>371</v>
      </c>
      <c r="B60" t="s">
        <v>372</v>
      </c>
      <c r="C60" t="s">
        <v>157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4" x14ac:dyDescent="0.2">
      <c r="A61" t="s">
        <v>374</v>
      </c>
      <c r="B61" t="s">
        <v>375</v>
      </c>
      <c r="C61" t="s">
        <v>158</v>
      </c>
      <c r="I61">
        <v>0</v>
      </c>
      <c r="J61">
        <v>0</v>
      </c>
      <c r="K61">
        <v>0</v>
      </c>
      <c r="L61">
        <v>0</v>
      </c>
    </row>
    <row r="62" spans="1:14" x14ac:dyDescent="0.2">
      <c r="A62" t="s">
        <v>377</v>
      </c>
      <c r="B62" t="s">
        <v>378</v>
      </c>
      <c r="C62" t="s">
        <v>159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4" x14ac:dyDescent="0.2">
      <c r="A63" t="s">
        <v>379</v>
      </c>
      <c r="B63" t="s">
        <v>380</v>
      </c>
      <c r="C63" t="s">
        <v>160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4" x14ac:dyDescent="0.2">
      <c r="A64" t="s">
        <v>381</v>
      </c>
      <c r="B64" t="s">
        <v>382</v>
      </c>
      <c r="C64" t="s">
        <v>161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">
      <c r="A65" t="s">
        <v>383</v>
      </c>
      <c r="B65" t="s">
        <v>384</v>
      </c>
      <c r="C65" t="s">
        <v>162</v>
      </c>
      <c r="I65">
        <v>0</v>
      </c>
      <c r="J65">
        <v>0</v>
      </c>
      <c r="K65">
        <v>0</v>
      </c>
      <c r="L65">
        <v>0</v>
      </c>
    </row>
    <row r="66" spans="1:12" x14ac:dyDescent="0.2">
      <c r="A66" t="s">
        <v>386</v>
      </c>
      <c r="B66" t="s">
        <v>387</v>
      </c>
      <c r="C66" t="s">
        <v>163</v>
      </c>
      <c r="H66">
        <v>0</v>
      </c>
      <c r="I66">
        <v>0</v>
      </c>
      <c r="J66">
        <v>0</v>
      </c>
      <c r="L66">
        <v>0</v>
      </c>
    </row>
    <row r="67" spans="1:12" x14ac:dyDescent="0.2">
      <c r="A67" t="s">
        <v>388</v>
      </c>
      <c r="B67" t="s">
        <v>389</v>
      </c>
      <c r="C67" t="s">
        <v>164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">
      <c r="A68" t="s">
        <v>391</v>
      </c>
      <c r="B68" t="s">
        <v>392</v>
      </c>
      <c r="C68" t="s">
        <v>165</v>
      </c>
      <c r="I68">
        <v>0</v>
      </c>
      <c r="J68">
        <v>0</v>
      </c>
      <c r="K68">
        <v>0</v>
      </c>
      <c r="L68">
        <v>0</v>
      </c>
    </row>
    <row r="69" spans="1:12" x14ac:dyDescent="0.2">
      <c r="A69" t="s">
        <v>394</v>
      </c>
      <c r="B69" t="s">
        <v>395</v>
      </c>
      <c r="C69" t="s">
        <v>166</v>
      </c>
      <c r="I69">
        <v>0</v>
      </c>
      <c r="J69">
        <v>0</v>
      </c>
      <c r="K69">
        <v>0</v>
      </c>
      <c r="L69">
        <v>0</v>
      </c>
    </row>
    <row r="70" spans="1:12" x14ac:dyDescent="0.2">
      <c r="A70" t="s">
        <v>396</v>
      </c>
      <c r="B70" t="s">
        <v>397</v>
      </c>
      <c r="C70" t="s">
        <v>167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399</v>
      </c>
      <c r="B71" t="s">
        <v>400</v>
      </c>
      <c r="C71" t="s">
        <v>168</v>
      </c>
      <c r="H71">
        <v>140.01</v>
      </c>
      <c r="I71">
        <v>39.79</v>
      </c>
      <c r="J71">
        <v>65.34</v>
      </c>
      <c r="L71">
        <v>9.75</v>
      </c>
    </row>
    <row r="72" spans="1:12" x14ac:dyDescent="0.2">
      <c r="A72" t="s">
        <v>403</v>
      </c>
      <c r="B72" t="s">
        <v>404</v>
      </c>
      <c r="C72" t="s">
        <v>169</v>
      </c>
      <c r="H72">
        <v>49.29</v>
      </c>
      <c r="I72">
        <v>8.07</v>
      </c>
      <c r="J72">
        <v>24.19</v>
      </c>
      <c r="L72">
        <v>7.58</v>
      </c>
    </row>
    <row r="73" spans="1:12" x14ac:dyDescent="0.2">
      <c r="A73" t="s">
        <v>406</v>
      </c>
      <c r="B73" t="s">
        <v>407</v>
      </c>
      <c r="C73" t="s">
        <v>170</v>
      </c>
      <c r="I73">
        <v>19.11</v>
      </c>
      <c r="J73">
        <v>4.07</v>
      </c>
      <c r="K73">
        <v>94.49</v>
      </c>
      <c r="L73">
        <v>6.86</v>
      </c>
    </row>
    <row r="74" spans="1:12" x14ac:dyDescent="0.2">
      <c r="A74" t="s">
        <v>408</v>
      </c>
      <c r="B74" t="s">
        <v>409</v>
      </c>
      <c r="C74" t="s">
        <v>171</v>
      </c>
      <c r="H74">
        <v>0</v>
      </c>
      <c r="I74">
        <v>12.27</v>
      </c>
      <c r="J74">
        <v>26.3</v>
      </c>
      <c r="K74">
        <v>31.53</v>
      </c>
      <c r="L74">
        <v>15.15</v>
      </c>
    </row>
    <row r="75" spans="1:12" x14ac:dyDescent="0.2">
      <c r="A75" t="s">
        <v>410</v>
      </c>
      <c r="B75" t="s">
        <v>411</v>
      </c>
      <c r="C75" t="s">
        <v>172</v>
      </c>
      <c r="I75">
        <v>0</v>
      </c>
      <c r="L75">
        <v>0.57999999999999996</v>
      </c>
    </row>
    <row r="76" spans="1:12" x14ac:dyDescent="0.2">
      <c r="A76" t="s">
        <v>412</v>
      </c>
      <c r="B76" t="s">
        <v>413</v>
      </c>
      <c r="C76" t="s">
        <v>173</v>
      </c>
      <c r="D76">
        <v>6.96</v>
      </c>
      <c r="I76">
        <v>21.8</v>
      </c>
      <c r="J76">
        <v>11.37</v>
      </c>
      <c r="K76">
        <v>3.75</v>
      </c>
      <c r="L76">
        <v>10.11</v>
      </c>
    </row>
    <row r="77" spans="1:12" x14ac:dyDescent="0.2">
      <c r="A77" t="s">
        <v>414</v>
      </c>
      <c r="B77" t="s">
        <v>415</v>
      </c>
      <c r="C77" t="s">
        <v>174</v>
      </c>
      <c r="D77">
        <v>2.29</v>
      </c>
      <c r="H77">
        <v>97.42</v>
      </c>
      <c r="I77">
        <v>6.87</v>
      </c>
      <c r="J77">
        <v>9.0399999999999991</v>
      </c>
      <c r="L77">
        <v>5.63</v>
      </c>
    </row>
    <row r="78" spans="1:12" x14ac:dyDescent="0.2">
      <c r="A78" t="s">
        <v>416</v>
      </c>
      <c r="B78" t="s">
        <v>417</v>
      </c>
      <c r="C78" t="s">
        <v>175</v>
      </c>
      <c r="D78">
        <v>25.85</v>
      </c>
      <c r="I78">
        <v>4.22</v>
      </c>
      <c r="J78">
        <v>13.31</v>
      </c>
      <c r="K78">
        <v>0</v>
      </c>
      <c r="L78">
        <v>13.22</v>
      </c>
    </row>
    <row r="81" spans="1:17" x14ac:dyDescent="0.2">
      <c r="A81" s="7"/>
      <c r="B81" s="7"/>
      <c r="C81" s="7"/>
      <c r="D81" s="7" t="s">
        <v>239</v>
      </c>
      <c r="E81" s="7" t="s">
        <v>240</v>
      </c>
      <c r="F81" s="7" t="s">
        <v>241</v>
      </c>
      <c r="G81" s="7" t="s">
        <v>242</v>
      </c>
      <c r="H81" s="7" t="s">
        <v>243</v>
      </c>
      <c r="I81" s="7" t="s">
        <v>244</v>
      </c>
      <c r="J81" s="7" t="s">
        <v>245</v>
      </c>
      <c r="K81" s="7" t="s">
        <v>246</v>
      </c>
      <c r="L81" s="7" t="s">
        <v>247</v>
      </c>
      <c r="M81" s="7" t="s">
        <v>248</v>
      </c>
      <c r="N81" s="7" t="s">
        <v>249</v>
      </c>
      <c r="O81" s="7" t="s">
        <v>250</v>
      </c>
      <c r="P81" s="7" t="s">
        <v>251</v>
      </c>
      <c r="Q81" s="7" t="s">
        <v>252</v>
      </c>
    </row>
    <row r="82" spans="1:17" x14ac:dyDescent="0.2">
      <c r="A82" s="7" t="s">
        <v>116</v>
      </c>
      <c r="B82" s="7" t="s">
        <v>253</v>
      </c>
      <c r="C82" s="7" t="s">
        <v>254</v>
      </c>
      <c r="D82" s="7" t="s">
        <v>499</v>
      </c>
      <c r="E82" s="7" t="s">
        <v>499</v>
      </c>
      <c r="F82" s="7" t="s">
        <v>499</v>
      </c>
      <c r="G82" s="7" t="s">
        <v>499</v>
      </c>
      <c r="H82" s="7" t="s">
        <v>499</v>
      </c>
      <c r="I82" s="7" t="s">
        <v>499</v>
      </c>
      <c r="J82" s="7" t="s">
        <v>499</v>
      </c>
      <c r="K82" s="7" t="s">
        <v>499</v>
      </c>
      <c r="L82" s="7" t="s">
        <v>499</v>
      </c>
      <c r="M82" s="7" t="s">
        <v>499</v>
      </c>
      <c r="N82" s="7" t="s">
        <v>499</v>
      </c>
      <c r="O82" s="7" t="s">
        <v>499</v>
      </c>
      <c r="P82" s="7" t="s">
        <v>499</v>
      </c>
      <c r="Q82" s="7" t="s">
        <v>499</v>
      </c>
    </row>
    <row r="83" spans="1:17" x14ac:dyDescent="0.2">
      <c r="A83" t="s">
        <v>256</v>
      </c>
      <c r="B83" t="s">
        <v>419</v>
      </c>
    </row>
    <row r="84" spans="1:17" x14ac:dyDescent="0.2">
      <c r="A84" t="s">
        <v>256</v>
      </c>
      <c r="B84" t="s">
        <v>420</v>
      </c>
    </row>
    <row r="85" spans="1:17" x14ac:dyDescent="0.2">
      <c r="A85" t="s">
        <v>258</v>
      </c>
      <c r="B85" t="s">
        <v>421</v>
      </c>
    </row>
    <row r="86" spans="1:17" x14ac:dyDescent="0.2">
      <c r="A86" t="s">
        <v>258</v>
      </c>
      <c r="B86" t="s">
        <v>422</v>
      </c>
    </row>
    <row r="87" spans="1:17" x14ac:dyDescent="0.2">
      <c r="A87" t="s">
        <v>260</v>
      </c>
      <c r="B87" t="s">
        <v>274</v>
      </c>
    </row>
    <row r="88" spans="1:17" x14ac:dyDescent="0.2">
      <c r="A88" t="s">
        <v>260</v>
      </c>
      <c r="B88" t="s">
        <v>428</v>
      </c>
    </row>
    <row r="89" spans="1:17" x14ac:dyDescent="0.2">
      <c r="A89" t="s">
        <v>262</v>
      </c>
      <c r="B89" t="s">
        <v>433</v>
      </c>
    </row>
    <row r="90" spans="1:17" x14ac:dyDescent="0.2">
      <c r="A90" t="s">
        <v>262</v>
      </c>
      <c r="B90" t="s">
        <v>435</v>
      </c>
    </row>
    <row r="91" spans="1:17" x14ac:dyDescent="0.2">
      <c r="A91" t="s">
        <v>264</v>
      </c>
      <c r="B91" t="s">
        <v>436</v>
      </c>
    </row>
    <row r="92" spans="1:17" x14ac:dyDescent="0.2">
      <c r="A92" t="s">
        <v>264</v>
      </c>
      <c r="B92" t="s">
        <v>437</v>
      </c>
    </row>
    <row r="93" spans="1:17" x14ac:dyDescent="0.2">
      <c r="A93" t="s">
        <v>266</v>
      </c>
      <c r="B93" t="s">
        <v>438</v>
      </c>
    </row>
    <row r="94" spans="1:17" x14ac:dyDescent="0.2">
      <c r="A94" t="s">
        <v>266</v>
      </c>
      <c r="B94" t="s">
        <v>439</v>
      </c>
    </row>
    <row r="95" spans="1:17" x14ac:dyDescent="0.2">
      <c r="A95" t="s">
        <v>268</v>
      </c>
      <c r="B95" t="s">
        <v>277</v>
      </c>
    </row>
    <row r="96" spans="1:17" x14ac:dyDescent="0.2">
      <c r="A96" t="s">
        <v>268</v>
      </c>
      <c r="B96" t="s">
        <v>440</v>
      </c>
    </row>
    <row r="97" spans="1:3" x14ac:dyDescent="0.2">
      <c r="A97" t="s">
        <v>270</v>
      </c>
      <c r="B97" t="s">
        <v>441</v>
      </c>
    </row>
    <row r="98" spans="1:3" x14ac:dyDescent="0.2">
      <c r="A98" t="s">
        <v>270</v>
      </c>
      <c r="B98" t="s">
        <v>444</v>
      </c>
    </row>
    <row r="99" spans="1:3" x14ac:dyDescent="0.2">
      <c r="A99" t="s">
        <v>272</v>
      </c>
      <c r="B99" t="s">
        <v>445</v>
      </c>
    </row>
    <row r="100" spans="1:3" x14ac:dyDescent="0.2">
      <c r="A100" t="s">
        <v>272</v>
      </c>
      <c r="B100" t="s">
        <v>447</v>
      </c>
    </row>
    <row r="101" spans="1:3" x14ac:dyDescent="0.2">
      <c r="A101" t="s">
        <v>274</v>
      </c>
      <c r="B101" t="s">
        <v>279</v>
      </c>
      <c r="C101" t="s">
        <v>260</v>
      </c>
    </row>
    <row r="102" spans="1:3" x14ac:dyDescent="0.2">
      <c r="A102" t="s">
        <v>274</v>
      </c>
      <c r="B102" t="s">
        <v>449</v>
      </c>
      <c r="C102" t="s">
        <v>260</v>
      </c>
    </row>
    <row r="103" spans="1:3" x14ac:dyDescent="0.2">
      <c r="A103" t="s">
        <v>277</v>
      </c>
      <c r="B103" t="s">
        <v>451</v>
      </c>
      <c r="C103" t="s">
        <v>264</v>
      </c>
    </row>
    <row r="104" spans="1:3" x14ac:dyDescent="0.2">
      <c r="A104" t="s">
        <v>277</v>
      </c>
      <c r="B104" t="s">
        <v>452</v>
      </c>
      <c r="C104" t="s">
        <v>264</v>
      </c>
    </row>
    <row r="105" spans="1:3" x14ac:dyDescent="0.2">
      <c r="A105" t="s">
        <v>279</v>
      </c>
      <c r="B105" t="s">
        <v>453</v>
      </c>
      <c r="C105" t="s">
        <v>268</v>
      </c>
    </row>
    <row r="106" spans="1:3" x14ac:dyDescent="0.2">
      <c r="A106" t="s">
        <v>279</v>
      </c>
      <c r="B106" t="s">
        <v>454</v>
      </c>
      <c r="C106" t="s">
        <v>268</v>
      </c>
    </row>
    <row r="107" spans="1:3" x14ac:dyDescent="0.2">
      <c r="A107" t="s">
        <v>282</v>
      </c>
      <c r="B107" t="s">
        <v>455</v>
      </c>
      <c r="C107" t="s">
        <v>120</v>
      </c>
    </row>
    <row r="108" spans="1:3" x14ac:dyDescent="0.2">
      <c r="A108" t="s">
        <v>282</v>
      </c>
      <c r="B108" t="s">
        <v>456</v>
      </c>
      <c r="C108" t="s">
        <v>120</v>
      </c>
    </row>
    <row r="109" spans="1:3" x14ac:dyDescent="0.2">
      <c r="A109" t="s">
        <v>285</v>
      </c>
      <c r="B109" t="s">
        <v>457</v>
      </c>
      <c r="C109" t="s">
        <v>121</v>
      </c>
    </row>
    <row r="110" spans="1:3" x14ac:dyDescent="0.2">
      <c r="A110" t="s">
        <v>285</v>
      </c>
      <c r="B110" t="s">
        <v>458</v>
      </c>
      <c r="C110" t="s">
        <v>121</v>
      </c>
    </row>
    <row r="111" spans="1:3" x14ac:dyDescent="0.2">
      <c r="A111" t="s">
        <v>288</v>
      </c>
      <c r="B111" t="s">
        <v>459</v>
      </c>
      <c r="C111" t="s">
        <v>122</v>
      </c>
    </row>
    <row r="112" spans="1:3" x14ac:dyDescent="0.2">
      <c r="A112" t="s">
        <v>288</v>
      </c>
      <c r="B112" t="s">
        <v>460</v>
      </c>
      <c r="C112" t="s">
        <v>122</v>
      </c>
    </row>
    <row r="113" spans="1:3" x14ac:dyDescent="0.2">
      <c r="A113" t="s">
        <v>291</v>
      </c>
      <c r="B113" t="s">
        <v>461</v>
      </c>
      <c r="C113" t="s">
        <v>123</v>
      </c>
    </row>
    <row r="114" spans="1:3" x14ac:dyDescent="0.2">
      <c r="A114" t="s">
        <v>291</v>
      </c>
      <c r="B114" t="s">
        <v>462</v>
      </c>
      <c r="C114" t="s">
        <v>123</v>
      </c>
    </row>
    <row r="115" spans="1:3" x14ac:dyDescent="0.2">
      <c r="A115" t="s">
        <v>294</v>
      </c>
      <c r="B115" t="s">
        <v>463</v>
      </c>
      <c r="C115" t="s">
        <v>124</v>
      </c>
    </row>
    <row r="116" spans="1:3" x14ac:dyDescent="0.2">
      <c r="A116" t="s">
        <v>294</v>
      </c>
      <c r="B116" t="s">
        <v>464</v>
      </c>
      <c r="C116" t="s">
        <v>124</v>
      </c>
    </row>
    <row r="117" spans="1:3" x14ac:dyDescent="0.2">
      <c r="A117" t="s">
        <v>298</v>
      </c>
      <c r="B117" t="s">
        <v>465</v>
      </c>
      <c r="C117" t="s">
        <v>125</v>
      </c>
    </row>
    <row r="118" spans="1:3" x14ac:dyDescent="0.2">
      <c r="A118" t="s">
        <v>298</v>
      </c>
      <c r="B118" t="s">
        <v>466</v>
      </c>
      <c r="C118" t="s">
        <v>125</v>
      </c>
    </row>
    <row r="119" spans="1:3" x14ac:dyDescent="0.2">
      <c r="A119" t="s">
        <v>300</v>
      </c>
      <c r="B119" t="s">
        <v>467</v>
      </c>
      <c r="C119" t="s">
        <v>126</v>
      </c>
    </row>
    <row r="120" spans="1:3" x14ac:dyDescent="0.2">
      <c r="A120" t="s">
        <v>300</v>
      </c>
      <c r="B120" t="s">
        <v>468</v>
      </c>
      <c r="C120" t="s">
        <v>126</v>
      </c>
    </row>
    <row r="121" spans="1:3" x14ac:dyDescent="0.2">
      <c r="A121" t="s">
        <v>302</v>
      </c>
      <c r="B121" t="s">
        <v>469</v>
      </c>
      <c r="C121" t="s">
        <v>127</v>
      </c>
    </row>
    <row r="122" spans="1:3" x14ac:dyDescent="0.2">
      <c r="A122" t="s">
        <v>302</v>
      </c>
      <c r="B122" t="s">
        <v>470</v>
      </c>
      <c r="C122" t="s">
        <v>127</v>
      </c>
    </row>
    <row r="123" spans="1:3" x14ac:dyDescent="0.2">
      <c r="A123" t="s">
        <v>305</v>
      </c>
      <c r="B123" t="s">
        <v>306</v>
      </c>
      <c r="C123" t="s">
        <v>128</v>
      </c>
    </row>
    <row r="124" spans="1:3" x14ac:dyDescent="0.2">
      <c r="A124" t="s">
        <v>307</v>
      </c>
      <c r="B124" t="s">
        <v>308</v>
      </c>
      <c r="C124" t="s">
        <v>129</v>
      </c>
    </row>
    <row r="125" spans="1:3" x14ac:dyDescent="0.2">
      <c r="A125" t="s">
        <v>309</v>
      </c>
      <c r="B125" t="s">
        <v>310</v>
      </c>
      <c r="C125" t="s">
        <v>130</v>
      </c>
    </row>
    <row r="126" spans="1:3" x14ac:dyDescent="0.2">
      <c r="A126" t="s">
        <v>312</v>
      </c>
      <c r="B126" t="s">
        <v>313</v>
      </c>
      <c r="C126" t="s">
        <v>131</v>
      </c>
    </row>
    <row r="127" spans="1:3" x14ac:dyDescent="0.2">
      <c r="A127" t="s">
        <v>315</v>
      </c>
      <c r="B127" t="s">
        <v>316</v>
      </c>
      <c r="C127" t="s">
        <v>132</v>
      </c>
    </row>
    <row r="128" spans="1:3" x14ac:dyDescent="0.2">
      <c r="A128" t="s">
        <v>317</v>
      </c>
      <c r="B128" t="s">
        <v>318</v>
      </c>
      <c r="C128" t="s">
        <v>133</v>
      </c>
    </row>
    <row r="129" spans="1:3" x14ac:dyDescent="0.2">
      <c r="A129" t="s">
        <v>319</v>
      </c>
      <c r="B129" t="s">
        <v>320</v>
      </c>
      <c r="C129" t="s">
        <v>134</v>
      </c>
    </row>
    <row r="130" spans="1:3" x14ac:dyDescent="0.2">
      <c r="A130" t="s">
        <v>321</v>
      </c>
      <c r="B130" t="s">
        <v>322</v>
      </c>
      <c r="C130" t="s">
        <v>135</v>
      </c>
    </row>
    <row r="131" spans="1:3" x14ac:dyDescent="0.2">
      <c r="A131" t="s">
        <v>323</v>
      </c>
      <c r="B131" t="s">
        <v>324</v>
      </c>
      <c r="C131" t="s">
        <v>136</v>
      </c>
    </row>
    <row r="132" spans="1:3" x14ac:dyDescent="0.2">
      <c r="A132" t="s">
        <v>325</v>
      </c>
      <c r="B132" t="s">
        <v>326</v>
      </c>
      <c r="C132" t="s">
        <v>137</v>
      </c>
    </row>
    <row r="133" spans="1:3" x14ac:dyDescent="0.2">
      <c r="A133" t="s">
        <v>327</v>
      </c>
      <c r="B133" t="s">
        <v>328</v>
      </c>
      <c r="C133" t="s">
        <v>138</v>
      </c>
    </row>
    <row r="134" spans="1:3" x14ac:dyDescent="0.2">
      <c r="A134" t="s">
        <v>329</v>
      </c>
      <c r="B134" t="s">
        <v>330</v>
      </c>
      <c r="C134" t="s">
        <v>139</v>
      </c>
    </row>
    <row r="135" spans="1:3" x14ac:dyDescent="0.2">
      <c r="A135" t="s">
        <v>331</v>
      </c>
      <c r="B135" t="s">
        <v>332</v>
      </c>
      <c r="C135" t="s">
        <v>140</v>
      </c>
    </row>
    <row r="136" spans="1:3" x14ac:dyDescent="0.2">
      <c r="A136" t="s">
        <v>334</v>
      </c>
      <c r="B136" t="s">
        <v>335</v>
      </c>
      <c r="C136" t="s">
        <v>141</v>
      </c>
    </row>
    <row r="137" spans="1:3" x14ac:dyDescent="0.2">
      <c r="A137" t="s">
        <v>336</v>
      </c>
      <c r="B137" t="s">
        <v>337</v>
      </c>
      <c r="C137" t="s">
        <v>142</v>
      </c>
    </row>
    <row r="138" spans="1:3" x14ac:dyDescent="0.2">
      <c r="A138" t="s">
        <v>339</v>
      </c>
      <c r="B138" t="s">
        <v>340</v>
      </c>
      <c r="C138" t="s">
        <v>143</v>
      </c>
    </row>
    <row r="139" spans="1:3" x14ac:dyDescent="0.2">
      <c r="A139" t="s">
        <v>342</v>
      </c>
      <c r="B139" t="s">
        <v>343</v>
      </c>
      <c r="C139" t="s">
        <v>144</v>
      </c>
    </row>
    <row r="140" spans="1:3" x14ac:dyDescent="0.2">
      <c r="A140" t="s">
        <v>344</v>
      </c>
      <c r="B140" t="s">
        <v>345</v>
      </c>
      <c r="C140" t="s">
        <v>145</v>
      </c>
    </row>
    <row r="141" spans="1:3" x14ac:dyDescent="0.2">
      <c r="A141" t="s">
        <v>346</v>
      </c>
      <c r="B141" t="s">
        <v>347</v>
      </c>
      <c r="C141" t="s">
        <v>146</v>
      </c>
    </row>
    <row r="142" spans="1:3" x14ac:dyDescent="0.2">
      <c r="A142" t="s">
        <v>348</v>
      </c>
      <c r="B142" t="s">
        <v>349</v>
      </c>
      <c r="C142" t="s">
        <v>147</v>
      </c>
    </row>
    <row r="143" spans="1:3" x14ac:dyDescent="0.2">
      <c r="A143" t="s">
        <v>351</v>
      </c>
      <c r="B143" t="s">
        <v>352</v>
      </c>
      <c r="C143" t="s">
        <v>148</v>
      </c>
    </row>
    <row r="144" spans="1:3" x14ac:dyDescent="0.2">
      <c r="A144" t="s">
        <v>353</v>
      </c>
      <c r="B144" t="s">
        <v>354</v>
      </c>
      <c r="C144" t="s">
        <v>149</v>
      </c>
    </row>
    <row r="145" spans="1:3" x14ac:dyDescent="0.2">
      <c r="A145" t="s">
        <v>356</v>
      </c>
      <c r="B145" t="s">
        <v>357</v>
      </c>
      <c r="C145" t="s">
        <v>150</v>
      </c>
    </row>
    <row r="146" spans="1:3" x14ac:dyDescent="0.2">
      <c r="A146" t="s">
        <v>358</v>
      </c>
      <c r="B146" t="s">
        <v>359</v>
      </c>
      <c r="C146" t="s">
        <v>151</v>
      </c>
    </row>
    <row r="147" spans="1:3" x14ac:dyDescent="0.2">
      <c r="A147" t="s">
        <v>360</v>
      </c>
      <c r="B147" t="s">
        <v>361</v>
      </c>
      <c r="C147" t="s">
        <v>152</v>
      </c>
    </row>
    <row r="148" spans="1:3" x14ac:dyDescent="0.2">
      <c r="A148" t="s">
        <v>362</v>
      </c>
      <c r="B148" t="s">
        <v>363</v>
      </c>
      <c r="C148" t="s">
        <v>153</v>
      </c>
    </row>
    <row r="149" spans="1:3" x14ac:dyDescent="0.2">
      <c r="A149" t="s">
        <v>364</v>
      </c>
      <c r="B149" t="s">
        <v>365</v>
      </c>
      <c r="C149" t="s">
        <v>154</v>
      </c>
    </row>
    <row r="150" spans="1:3" x14ac:dyDescent="0.2">
      <c r="A150" t="s">
        <v>366</v>
      </c>
      <c r="B150" t="s">
        <v>367</v>
      </c>
      <c r="C150" t="s">
        <v>155</v>
      </c>
    </row>
    <row r="151" spans="1:3" x14ac:dyDescent="0.2">
      <c r="A151" t="s">
        <v>369</v>
      </c>
      <c r="B151" t="s">
        <v>370</v>
      </c>
      <c r="C151" t="s">
        <v>156</v>
      </c>
    </row>
    <row r="152" spans="1:3" x14ac:dyDescent="0.2">
      <c r="A152" t="s">
        <v>371</v>
      </c>
      <c r="B152" t="s">
        <v>372</v>
      </c>
      <c r="C152" t="s">
        <v>157</v>
      </c>
    </row>
    <row r="153" spans="1:3" x14ac:dyDescent="0.2">
      <c r="A153" t="s">
        <v>374</v>
      </c>
      <c r="B153" t="s">
        <v>375</v>
      </c>
      <c r="C153" t="s">
        <v>158</v>
      </c>
    </row>
    <row r="154" spans="1:3" x14ac:dyDescent="0.2">
      <c r="A154" t="s">
        <v>377</v>
      </c>
      <c r="B154" t="s">
        <v>378</v>
      </c>
      <c r="C154" t="s">
        <v>159</v>
      </c>
    </row>
    <row r="155" spans="1:3" x14ac:dyDescent="0.2">
      <c r="A155" t="s">
        <v>379</v>
      </c>
      <c r="B155" t="s">
        <v>380</v>
      </c>
      <c r="C155" t="s">
        <v>160</v>
      </c>
    </row>
    <row r="156" spans="1:3" x14ac:dyDescent="0.2">
      <c r="A156" t="s">
        <v>381</v>
      </c>
      <c r="B156" t="s">
        <v>382</v>
      </c>
      <c r="C156" t="s">
        <v>161</v>
      </c>
    </row>
    <row r="157" spans="1:3" x14ac:dyDescent="0.2">
      <c r="A157" t="s">
        <v>383</v>
      </c>
      <c r="B157" t="s">
        <v>384</v>
      </c>
      <c r="C157" t="s">
        <v>162</v>
      </c>
    </row>
    <row r="158" spans="1:3" x14ac:dyDescent="0.2">
      <c r="A158" t="s">
        <v>386</v>
      </c>
      <c r="B158" t="s">
        <v>387</v>
      </c>
      <c r="C158" t="s">
        <v>163</v>
      </c>
    </row>
    <row r="159" spans="1:3" x14ac:dyDescent="0.2">
      <c r="A159" t="s">
        <v>388</v>
      </c>
      <c r="B159" t="s">
        <v>389</v>
      </c>
      <c r="C159" t="s">
        <v>164</v>
      </c>
    </row>
    <row r="160" spans="1:3" x14ac:dyDescent="0.2">
      <c r="A160" t="s">
        <v>391</v>
      </c>
      <c r="B160" t="s">
        <v>392</v>
      </c>
      <c r="C160" t="s">
        <v>165</v>
      </c>
    </row>
    <row r="161" spans="1:3" x14ac:dyDescent="0.2">
      <c r="A161" t="s">
        <v>394</v>
      </c>
      <c r="B161" t="s">
        <v>395</v>
      </c>
      <c r="C161" t="s">
        <v>166</v>
      </c>
    </row>
    <row r="162" spans="1:3" x14ac:dyDescent="0.2">
      <c r="A162" t="s">
        <v>396</v>
      </c>
      <c r="B162" t="s">
        <v>397</v>
      </c>
      <c r="C162" t="s">
        <v>167</v>
      </c>
    </row>
    <row r="163" spans="1:3" x14ac:dyDescent="0.2">
      <c r="A163" t="s">
        <v>399</v>
      </c>
      <c r="B163" t="s">
        <v>472</v>
      </c>
      <c r="C163" t="s">
        <v>168</v>
      </c>
    </row>
    <row r="164" spans="1:3" x14ac:dyDescent="0.2">
      <c r="A164" t="s">
        <v>399</v>
      </c>
      <c r="B164" t="s">
        <v>473</v>
      </c>
      <c r="C164" t="s">
        <v>168</v>
      </c>
    </row>
    <row r="165" spans="1:3" x14ac:dyDescent="0.2">
      <c r="A165" t="s">
        <v>403</v>
      </c>
      <c r="B165" t="s">
        <v>474</v>
      </c>
      <c r="C165" t="s">
        <v>169</v>
      </c>
    </row>
    <row r="166" spans="1:3" x14ac:dyDescent="0.2">
      <c r="A166" t="s">
        <v>403</v>
      </c>
      <c r="B166" t="s">
        <v>475</v>
      </c>
      <c r="C166" t="s">
        <v>169</v>
      </c>
    </row>
    <row r="167" spans="1:3" x14ac:dyDescent="0.2">
      <c r="A167" t="s">
        <v>406</v>
      </c>
      <c r="B167" t="s">
        <v>476</v>
      </c>
      <c r="C167" t="s">
        <v>170</v>
      </c>
    </row>
    <row r="168" spans="1:3" x14ac:dyDescent="0.2">
      <c r="A168" t="s">
        <v>406</v>
      </c>
      <c r="B168" t="s">
        <v>478</v>
      </c>
      <c r="C168" t="s">
        <v>170</v>
      </c>
    </row>
    <row r="169" spans="1:3" x14ac:dyDescent="0.2">
      <c r="A169" t="s">
        <v>408</v>
      </c>
      <c r="B169" t="s">
        <v>479</v>
      </c>
      <c r="C169" t="s">
        <v>171</v>
      </c>
    </row>
    <row r="170" spans="1:3" x14ac:dyDescent="0.2">
      <c r="A170" t="s">
        <v>408</v>
      </c>
      <c r="B170" t="s">
        <v>480</v>
      </c>
      <c r="C170" t="s">
        <v>171</v>
      </c>
    </row>
    <row r="171" spans="1:3" x14ac:dyDescent="0.2">
      <c r="A171" t="s">
        <v>410</v>
      </c>
      <c r="B171" t="s">
        <v>481</v>
      </c>
      <c r="C171" t="s">
        <v>172</v>
      </c>
    </row>
    <row r="172" spans="1:3" x14ac:dyDescent="0.2">
      <c r="A172" t="s">
        <v>410</v>
      </c>
      <c r="B172" t="s">
        <v>482</v>
      </c>
      <c r="C172" t="s">
        <v>172</v>
      </c>
    </row>
    <row r="173" spans="1:3" x14ac:dyDescent="0.2">
      <c r="A173" t="s">
        <v>412</v>
      </c>
      <c r="B173" t="s">
        <v>484</v>
      </c>
      <c r="C173" t="s">
        <v>173</v>
      </c>
    </row>
    <row r="174" spans="1:3" x14ac:dyDescent="0.2">
      <c r="A174" t="s">
        <v>412</v>
      </c>
      <c r="B174" t="s">
        <v>485</v>
      </c>
      <c r="C174" t="s">
        <v>173</v>
      </c>
    </row>
    <row r="175" spans="1:3" x14ac:dyDescent="0.2">
      <c r="A175" t="s">
        <v>414</v>
      </c>
      <c r="B175" t="s">
        <v>486</v>
      </c>
      <c r="C175" t="s">
        <v>174</v>
      </c>
    </row>
    <row r="176" spans="1:3" x14ac:dyDescent="0.2">
      <c r="A176" t="s">
        <v>414</v>
      </c>
      <c r="B176" t="s">
        <v>487</v>
      </c>
      <c r="C176" t="s">
        <v>174</v>
      </c>
    </row>
    <row r="177" spans="1:3" x14ac:dyDescent="0.2">
      <c r="A177" t="s">
        <v>416</v>
      </c>
      <c r="B177" t="s">
        <v>488</v>
      </c>
      <c r="C177" t="s">
        <v>175</v>
      </c>
    </row>
    <row r="178" spans="1:3" x14ac:dyDescent="0.2">
      <c r="A178" t="s">
        <v>416</v>
      </c>
      <c r="B178" t="s">
        <v>491</v>
      </c>
      <c r="C178" t="s">
        <v>175</v>
      </c>
    </row>
    <row r="180" spans="1:3" x14ac:dyDescent="0.2">
      <c r="A180" t="s">
        <v>493</v>
      </c>
    </row>
    <row r="181" spans="1:3" x14ac:dyDescent="0.2">
      <c r="A181" t="s">
        <v>494</v>
      </c>
    </row>
    <row r="182" spans="1:3" x14ac:dyDescent="0.2">
      <c r="A182" t="s">
        <v>495</v>
      </c>
    </row>
    <row r="183" spans="1:3" x14ac:dyDescent="0.2">
      <c r="A183" t="s">
        <v>496</v>
      </c>
    </row>
    <row r="184" spans="1:3" x14ac:dyDescent="0.2">
      <c r="A184" t="s">
        <v>497</v>
      </c>
    </row>
    <row r="185" spans="1:3" x14ac:dyDescent="0.2">
      <c r="A185" t="s">
        <v>498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D76F-9ECE-6E4A-B7AA-89B1F77D88E5}">
  <dimension ref="A1:Q185"/>
  <sheetViews>
    <sheetView workbookViewId="0">
      <selection activeCell="H62" sqref="H62"/>
    </sheetView>
  </sheetViews>
  <sheetFormatPr baseColWidth="10" defaultColWidth="8.83203125" defaultRowHeight="15" x14ac:dyDescent="0.2"/>
  <cols>
    <col min="1" max="1" width="5.33203125" bestFit="1" customWidth="1"/>
    <col min="2" max="2" width="8.1640625" bestFit="1" customWidth="1"/>
    <col min="3" max="3" width="11.1640625" bestFit="1" customWidth="1"/>
    <col min="5" max="5" width="9.5" bestFit="1" customWidth="1"/>
    <col min="8" max="8" width="9.5" bestFit="1" customWidth="1"/>
    <col min="10" max="10" width="14.33203125" bestFit="1" customWidth="1"/>
    <col min="12" max="12" width="11.33203125" bestFit="1" customWidth="1"/>
    <col min="13" max="13" width="11.5" bestFit="1" customWidth="1"/>
    <col min="14" max="14" width="16.5" bestFit="1" customWidth="1"/>
    <col min="16" max="16" width="9.5" bestFit="1" customWidth="1"/>
    <col min="17" max="17" width="15.5" bestFit="1" customWidth="1"/>
  </cols>
  <sheetData>
    <row r="1" spans="1:17" x14ac:dyDescent="0.2">
      <c r="A1" s="7" t="s">
        <v>524</v>
      </c>
    </row>
    <row r="2" spans="1:17" x14ac:dyDescent="0.2">
      <c r="A2" s="7" t="s">
        <v>523</v>
      </c>
    </row>
    <row r="3" spans="1:17" x14ac:dyDescent="0.2">
      <c r="A3" s="7" t="s">
        <v>234</v>
      </c>
    </row>
    <row r="4" spans="1:17" x14ac:dyDescent="0.2">
      <c r="A4" s="7" t="s">
        <v>235</v>
      </c>
    </row>
    <row r="5" spans="1:17" x14ac:dyDescent="0.2">
      <c r="A5" s="7" t="s">
        <v>236</v>
      </c>
    </row>
    <row r="6" spans="1:17" x14ac:dyDescent="0.2">
      <c r="A6" s="7" t="s">
        <v>237</v>
      </c>
    </row>
    <row r="7" spans="1:17" x14ac:dyDescent="0.2">
      <c r="A7" s="7" t="s">
        <v>238</v>
      </c>
    </row>
    <row r="9" spans="1:17" x14ac:dyDescent="0.2">
      <c r="A9" s="7"/>
      <c r="B9" s="7"/>
      <c r="C9" s="7"/>
      <c r="D9" s="7" t="s">
        <v>239</v>
      </c>
      <c r="E9" s="7" t="s">
        <v>240</v>
      </c>
      <c r="F9" s="7" t="s">
        <v>241</v>
      </c>
      <c r="G9" s="7" t="s">
        <v>242</v>
      </c>
      <c r="H9" s="7" t="s">
        <v>243</v>
      </c>
      <c r="I9" s="7" t="s">
        <v>244</v>
      </c>
      <c r="J9" s="7" t="s">
        <v>245</v>
      </c>
      <c r="K9" s="7" t="s">
        <v>246</v>
      </c>
      <c r="L9" s="7" t="s">
        <v>247</v>
      </c>
      <c r="M9" s="7" t="s">
        <v>248</v>
      </c>
      <c r="N9" s="7" t="s">
        <v>249</v>
      </c>
      <c r="O9" s="7" t="s">
        <v>250</v>
      </c>
      <c r="P9" s="7" t="s">
        <v>251</v>
      </c>
      <c r="Q9" s="7" t="s">
        <v>252</v>
      </c>
    </row>
    <row r="10" spans="1:17" x14ac:dyDescent="0.2">
      <c r="A10" s="7" t="s">
        <v>116</v>
      </c>
      <c r="B10" s="7" t="s">
        <v>253</v>
      </c>
      <c r="C10" s="7" t="s">
        <v>254</v>
      </c>
      <c r="D10" s="7" t="s">
        <v>255</v>
      </c>
      <c r="E10" s="7" t="s">
        <v>255</v>
      </c>
      <c r="F10" s="7" t="s">
        <v>255</v>
      </c>
      <c r="G10" s="7" t="s">
        <v>255</v>
      </c>
      <c r="H10" s="7" t="s">
        <v>255</v>
      </c>
      <c r="I10" s="7" t="s">
        <v>255</v>
      </c>
      <c r="J10" s="7" t="s">
        <v>255</v>
      </c>
      <c r="K10" s="7" t="s">
        <v>255</v>
      </c>
      <c r="L10" s="7" t="s">
        <v>255</v>
      </c>
      <c r="M10" s="7" t="s">
        <v>255</v>
      </c>
      <c r="N10" s="7" t="s">
        <v>255</v>
      </c>
      <c r="O10" s="7" t="s">
        <v>255</v>
      </c>
      <c r="P10" s="7" t="s">
        <v>255</v>
      </c>
      <c r="Q10" s="7" t="s">
        <v>255</v>
      </c>
    </row>
    <row r="11" spans="1:17" x14ac:dyDescent="0.2">
      <c r="A11" t="s">
        <v>256</v>
      </c>
      <c r="B11" t="s">
        <v>257</v>
      </c>
    </row>
    <row r="12" spans="1:17" x14ac:dyDescent="0.2">
      <c r="A12" t="s">
        <v>258</v>
      </c>
      <c r="B12" t="s">
        <v>259</v>
      </c>
      <c r="E12">
        <v>11518</v>
      </c>
      <c r="H12">
        <v>30006.13</v>
      </c>
      <c r="J12">
        <v>9961.91</v>
      </c>
      <c r="K12">
        <v>6896.27</v>
      </c>
      <c r="M12">
        <v>28462.63</v>
      </c>
      <c r="N12">
        <v>15034.03</v>
      </c>
      <c r="P12">
        <v>23966.19</v>
      </c>
    </row>
    <row r="13" spans="1:17" x14ac:dyDescent="0.2">
      <c r="A13" t="s">
        <v>260</v>
      </c>
      <c r="B13" t="s">
        <v>261</v>
      </c>
      <c r="D13">
        <v>25860.29</v>
      </c>
      <c r="E13">
        <v>2678.55</v>
      </c>
      <c r="F13">
        <v>7876.27</v>
      </c>
      <c r="G13">
        <v>14042.57</v>
      </c>
      <c r="H13">
        <v>9476.9500000000007</v>
      </c>
      <c r="I13">
        <v>8943.76</v>
      </c>
      <c r="J13">
        <v>2312.59</v>
      </c>
      <c r="K13">
        <v>1614.71</v>
      </c>
      <c r="L13">
        <v>13845.79</v>
      </c>
      <c r="M13">
        <v>7495.5</v>
      </c>
      <c r="N13">
        <v>3860.6</v>
      </c>
      <c r="P13">
        <v>6261.14</v>
      </c>
      <c r="Q13">
        <v>13142.29</v>
      </c>
    </row>
    <row r="14" spans="1:17" x14ac:dyDescent="0.2">
      <c r="A14" t="s">
        <v>262</v>
      </c>
      <c r="B14" t="s">
        <v>263</v>
      </c>
      <c r="D14">
        <v>5025.1499999999996</v>
      </c>
      <c r="E14">
        <v>699.49</v>
      </c>
      <c r="F14">
        <v>1764.13</v>
      </c>
      <c r="G14">
        <v>3200.43</v>
      </c>
      <c r="H14">
        <v>1874.57</v>
      </c>
      <c r="I14">
        <v>2208.87</v>
      </c>
      <c r="J14">
        <v>601.13</v>
      </c>
      <c r="K14">
        <v>438.73</v>
      </c>
      <c r="L14">
        <v>3435</v>
      </c>
      <c r="M14">
        <v>1754.52</v>
      </c>
      <c r="N14">
        <v>931.63</v>
      </c>
      <c r="O14">
        <v>2758.26</v>
      </c>
      <c r="P14">
        <v>1495.51</v>
      </c>
      <c r="Q14">
        <v>3056.26</v>
      </c>
    </row>
    <row r="15" spans="1:17" x14ac:dyDescent="0.2">
      <c r="A15" t="s">
        <v>264</v>
      </c>
      <c r="B15" t="s">
        <v>265</v>
      </c>
      <c r="D15">
        <v>1401.31</v>
      </c>
      <c r="E15">
        <v>184.48</v>
      </c>
      <c r="F15">
        <v>479.65</v>
      </c>
      <c r="G15">
        <v>887.03</v>
      </c>
      <c r="H15">
        <v>549.21</v>
      </c>
      <c r="I15">
        <v>578.05999999999995</v>
      </c>
      <c r="J15">
        <v>155.30000000000001</v>
      </c>
      <c r="K15">
        <v>104.68</v>
      </c>
      <c r="L15">
        <v>869.19</v>
      </c>
      <c r="M15">
        <v>466.99</v>
      </c>
      <c r="N15">
        <v>245.3</v>
      </c>
      <c r="O15">
        <v>694.65</v>
      </c>
      <c r="P15">
        <v>399.43</v>
      </c>
      <c r="Q15">
        <v>769.33</v>
      </c>
    </row>
    <row r="16" spans="1:17" x14ac:dyDescent="0.2">
      <c r="A16" t="s">
        <v>266</v>
      </c>
      <c r="B16" t="s">
        <v>267</v>
      </c>
      <c r="D16">
        <v>318.23</v>
      </c>
      <c r="E16">
        <v>41.93</v>
      </c>
      <c r="F16">
        <v>108.8</v>
      </c>
      <c r="G16">
        <v>197.52</v>
      </c>
      <c r="H16">
        <v>122.91</v>
      </c>
      <c r="I16">
        <v>128.16999999999999</v>
      </c>
      <c r="J16">
        <v>35.78</v>
      </c>
      <c r="K16">
        <v>26.06</v>
      </c>
      <c r="L16">
        <v>212.85</v>
      </c>
      <c r="M16">
        <v>110.93</v>
      </c>
      <c r="N16">
        <v>56.96</v>
      </c>
      <c r="O16">
        <v>173.4</v>
      </c>
      <c r="P16">
        <v>91.56</v>
      </c>
      <c r="Q16">
        <v>190.47</v>
      </c>
    </row>
    <row r="17" spans="1:17" x14ac:dyDescent="0.2">
      <c r="A17" t="s">
        <v>268</v>
      </c>
      <c r="B17" t="s">
        <v>269</v>
      </c>
      <c r="D17">
        <v>94.8</v>
      </c>
      <c r="E17">
        <v>11.18</v>
      </c>
      <c r="F17">
        <v>32.19</v>
      </c>
      <c r="G17">
        <v>53.65</v>
      </c>
      <c r="H17">
        <v>34.35</v>
      </c>
      <c r="I17">
        <v>39.74</v>
      </c>
      <c r="J17">
        <v>9.9499999999999993</v>
      </c>
      <c r="K17">
        <v>6.7</v>
      </c>
      <c r="L17">
        <v>54.97</v>
      </c>
      <c r="M17">
        <v>28.8</v>
      </c>
      <c r="N17">
        <v>15.92</v>
      </c>
      <c r="O17">
        <v>40.78</v>
      </c>
      <c r="P17">
        <v>24.3</v>
      </c>
      <c r="Q17">
        <v>48.71</v>
      </c>
    </row>
    <row r="18" spans="1:17" x14ac:dyDescent="0.2">
      <c r="A18" t="s">
        <v>270</v>
      </c>
      <c r="B18" t="s">
        <v>271</v>
      </c>
      <c r="D18">
        <v>15.56</v>
      </c>
      <c r="F18">
        <v>5.65</v>
      </c>
      <c r="G18">
        <v>14.26</v>
      </c>
      <c r="H18">
        <v>6.32</v>
      </c>
      <c r="I18">
        <v>7.92</v>
      </c>
      <c r="J18">
        <v>2.19</v>
      </c>
      <c r="K18">
        <v>1.62</v>
      </c>
      <c r="L18">
        <v>13.18</v>
      </c>
      <c r="M18">
        <v>6.98</v>
      </c>
      <c r="N18">
        <v>3.32</v>
      </c>
      <c r="O18">
        <v>12.3</v>
      </c>
      <c r="P18">
        <v>6.26</v>
      </c>
      <c r="Q18">
        <v>11.56</v>
      </c>
    </row>
    <row r="19" spans="1:17" x14ac:dyDescent="0.2">
      <c r="A19" t="s">
        <v>272</v>
      </c>
      <c r="B19" t="s">
        <v>273</v>
      </c>
      <c r="G19">
        <v>2.41</v>
      </c>
      <c r="O19">
        <v>2.41</v>
      </c>
      <c r="P19">
        <v>1.37</v>
      </c>
    </row>
    <row r="20" spans="1:17" x14ac:dyDescent="0.2">
      <c r="A20" t="s">
        <v>274</v>
      </c>
      <c r="B20" t="s">
        <v>275</v>
      </c>
      <c r="C20" t="s">
        <v>260</v>
      </c>
      <c r="D20">
        <v>8664.17</v>
      </c>
      <c r="E20">
        <v>2448.16</v>
      </c>
      <c r="F20">
        <v>4522.6099999999997</v>
      </c>
      <c r="G20">
        <v>8722.73</v>
      </c>
      <c r="H20">
        <v>8152.87</v>
      </c>
      <c r="I20">
        <v>6359.01</v>
      </c>
      <c r="J20">
        <v>2009.31</v>
      </c>
      <c r="K20">
        <v>1509.92</v>
      </c>
      <c r="L20">
        <v>9477.31</v>
      </c>
      <c r="M20">
        <v>6402.67</v>
      </c>
      <c r="N20">
        <v>3347.24</v>
      </c>
      <c r="O20">
        <v>2104.2800000000002</v>
      </c>
      <c r="P20">
        <v>6458.79</v>
      </c>
      <c r="Q20">
        <v>4107.43</v>
      </c>
    </row>
    <row r="21" spans="1:17" x14ac:dyDescent="0.2">
      <c r="A21" t="s">
        <v>277</v>
      </c>
      <c r="B21" t="s">
        <v>278</v>
      </c>
      <c r="C21" t="s">
        <v>264</v>
      </c>
      <c r="D21">
        <v>1368.41</v>
      </c>
      <c r="E21">
        <v>177.29</v>
      </c>
      <c r="F21">
        <v>454.25</v>
      </c>
      <c r="G21">
        <v>819.82</v>
      </c>
      <c r="H21">
        <v>527.62</v>
      </c>
      <c r="I21">
        <v>540.29</v>
      </c>
      <c r="J21">
        <v>150.03</v>
      </c>
      <c r="K21">
        <v>103.13</v>
      </c>
      <c r="L21">
        <v>878.05</v>
      </c>
      <c r="M21">
        <v>440.52</v>
      </c>
      <c r="N21">
        <v>243.69</v>
      </c>
      <c r="O21">
        <v>661.43</v>
      </c>
      <c r="P21">
        <v>402.71</v>
      </c>
      <c r="Q21">
        <v>736.03</v>
      </c>
    </row>
    <row r="22" spans="1:17" x14ac:dyDescent="0.2">
      <c r="A22" t="s">
        <v>279</v>
      </c>
      <c r="B22" t="s">
        <v>280</v>
      </c>
      <c r="C22" t="s">
        <v>268</v>
      </c>
      <c r="D22">
        <v>127.36</v>
      </c>
      <c r="E22">
        <v>13.44</v>
      </c>
      <c r="F22">
        <v>31.72</v>
      </c>
      <c r="G22">
        <v>57.99</v>
      </c>
      <c r="H22">
        <v>45.33</v>
      </c>
      <c r="I22">
        <v>36.840000000000003</v>
      </c>
      <c r="J22">
        <v>11.05</v>
      </c>
      <c r="K22">
        <v>8.09</v>
      </c>
      <c r="L22">
        <v>56.11</v>
      </c>
      <c r="M22">
        <v>36.54</v>
      </c>
      <c r="N22">
        <v>15.08</v>
      </c>
      <c r="O22">
        <v>46.27</v>
      </c>
      <c r="P22">
        <v>26.71</v>
      </c>
      <c r="Q22">
        <v>54.36</v>
      </c>
    </row>
    <row r="23" spans="1:17" x14ac:dyDescent="0.2">
      <c r="A23" t="s">
        <v>282</v>
      </c>
      <c r="B23" t="s">
        <v>283</v>
      </c>
      <c r="C23" t="s">
        <v>176</v>
      </c>
      <c r="D23" t="s">
        <v>284</v>
      </c>
      <c r="E23" t="s">
        <v>284</v>
      </c>
      <c r="F23" t="s">
        <v>284</v>
      </c>
      <c r="G23" t="s">
        <v>284</v>
      </c>
      <c r="H23" t="s">
        <v>284</v>
      </c>
      <c r="I23">
        <v>58.28</v>
      </c>
      <c r="J23">
        <v>3.8</v>
      </c>
      <c r="K23" t="s">
        <v>284</v>
      </c>
      <c r="L23">
        <v>470.06</v>
      </c>
      <c r="M23" t="s">
        <v>284</v>
      </c>
      <c r="N23" t="s">
        <v>284</v>
      </c>
      <c r="O23" t="s">
        <v>284</v>
      </c>
      <c r="P23" t="s">
        <v>284</v>
      </c>
      <c r="Q23" t="s">
        <v>284</v>
      </c>
    </row>
    <row r="24" spans="1:17" x14ac:dyDescent="0.2">
      <c r="A24" t="s">
        <v>285</v>
      </c>
      <c r="B24" t="s">
        <v>286</v>
      </c>
      <c r="C24" t="s">
        <v>177</v>
      </c>
      <c r="D24" t="s">
        <v>284</v>
      </c>
      <c r="E24" t="s">
        <v>284</v>
      </c>
      <c r="F24" t="s">
        <v>284</v>
      </c>
      <c r="G24" t="s">
        <v>284</v>
      </c>
      <c r="H24" t="s">
        <v>284</v>
      </c>
      <c r="I24">
        <v>62.01</v>
      </c>
      <c r="J24">
        <v>3.06</v>
      </c>
      <c r="K24" t="s">
        <v>284</v>
      </c>
      <c r="L24">
        <v>506.1</v>
      </c>
      <c r="M24" t="s">
        <v>284</v>
      </c>
      <c r="N24" t="s">
        <v>284</v>
      </c>
      <c r="O24" t="s">
        <v>284</v>
      </c>
      <c r="P24" t="s">
        <v>284</v>
      </c>
      <c r="Q24" t="s">
        <v>284</v>
      </c>
    </row>
    <row r="25" spans="1:17" x14ac:dyDescent="0.2">
      <c r="A25" t="s">
        <v>288</v>
      </c>
      <c r="B25" t="s">
        <v>289</v>
      </c>
      <c r="C25" t="s">
        <v>178</v>
      </c>
      <c r="D25" t="s">
        <v>284</v>
      </c>
      <c r="E25" t="s">
        <v>284</v>
      </c>
      <c r="F25" t="s">
        <v>284</v>
      </c>
      <c r="G25" t="s">
        <v>284</v>
      </c>
      <c r="H25" t="s">
        <v>284</v>
      </c>
      <c r="I25">
        <v>16.93</v>
      </c>
      <c r="J25">
        <v>4.34</v>
      </c>
      <c r="K25" t="s">
        <v>284</v>
      </c>
      <c r="L25">
        <v>695.43</v>
      </c>
      <c r="M25" t="s">
        <v>284</v>
      </c>
      <c r="N25" t="s">
        <v>284</v>
      </c>
      <c r="O25" t="s">
        <v>284</v>
      </c>
      <c r="P25" t="s">
        <v>284</v>
      </c>
      <c r="Q25" t="s">
        <v>284</v>
      </c>
    </row>
    <row r="26" spans="1:17" x14ac:dyDescent="0.2">
      <c r="A26" t="s">
        <v>291</v>
      </c>
      <c r="B26" t="s">
        <v>292</v>
      </c>
      <c r="C26" t="s">
        <v>179</v>
      </c>
      <c r="D26" t="s">
        <v>284</v>
      </c>
      <c r="E26" t="s">
        <v>284</v>
      </c>
      <c r="F26" t="s">
        <v>284</v>
      </c>
      <c r="G26" t="s">
        <v>284</v>
      </c>
      <c r="H26" t="s">
        <v>284</v>
      </c>
      <c r="I26">
        <v>173.35</v>
      </c>
      <c r="J26">
        <v>50.67</v>
      </c>
      <c r="K26">
        <v>2.25</v>
      </c>
      <c r="L26">
        <v>699.72</v>
      </c>
      <c r="M26" t="s">
        <v>284</v>
      </c>
      <c r="N26" t="s">
        <v>284</v>
      </c>
      <c r="O26" t="s">
        <v>284</v>
      </c>
      <c r="P26" t="s">
        <v>284</v>
      </c>
      <c r="Q26" t="s">
        <v>284</v>
      </c>
    </row>
    <row r="27" spans="1:17" x14ac:dyDescent="0.2">
      <c r="A27" t="s">
        <v>294</v>
      </c>
      <c r="B27" t="s">
        <v>295</v>
      </c>
      <c r="C27" t="s">
        <v>180</v>
      </c>
      <c r="D27" t="s">
        <v>284</v>
      </c>
      <c r="E27" t="s">
        <v>284</v>
      </c>
      <c r="F27" t="s">
        <v>284</v>
      </c>
      <c r="G27" t="s">
        <v>284</v>
      </c>
      <c r="H27" t="s">
        <v>284</v>
      </c>
      <c r="I27">
        <v>12.76</v>
      </c>
      <c r="J27" t="s">
        <v>520</v>
      </c>
      <c r="K27" t="s">
        <v>284</v>
      </c>
      <c r="L27">
        <v>456.5</v>
      </c>
      <c r="M27" t="s">
        <v>284</v>
      </c>
      <c r="N27" t="s">
        <v>284</v>
      </c>
      <c r="O27" t="s">
        <v>284</v>
      </c>
      <c r="P27" t="s">
        <v>284</v>
      </c>
      <c r="Q27" t="s">
        <v>284</v>
      </c>
    </row>
    <row r="28" spans="1:17" x14ac:dyDescent="0.2">
      <c r="A28" t="s">
        <v>298</v>
      </c>
      <c r="B28" t="s">
        <v>299</v>
      </c>
      <c r="C28" t="s">
        <v>181</v>
      </c>
      <c r="D28" t="s">
        <v>284</v>
      </c>
      <c r="E28" t="s">
        <v>284</v>
      </c>
      <c r="F28" t="s">
        <v>284</v>
      </c>
      <c r="G28" t="s">
        <v>284</v>
      </c>
      <c r="H28" t="s">
        <v>284</v>
      </c>
      <c r="I28">
        <v>448.86</v>
      </c>
      <c r="J28">
        <v>26.75</v>
      </c>
      <c r="K28">
        <v>19.41</v>
      </c>
      <c r="L28">
        <v>682.55</v>
      </c>
      <c r="M28" t="s">
        <v>284</v>
      </c>
      <c r="N28" t="s">
        <v>284</v>
      </c>
      <c r="O28" t="s">
        <v>284</v>
      </c>
      <c r="P28" t="s">
        <v>284</v>
      </c>
      <c r="Q28" t="s">
        <v>284</v>
      </c>
    </row>
    <row r="29" spans="1:17" x14ac:dyDescent="0.2">
      <c r="A29" t="s">
        <v>300</v>
      </c>
      <c r="B29" t="s">
        <v>301</v>
      </c>
      <c r="C29" t="s">
        <v>182</v>
      </c>
      <c r="D29" t="s">
        <v>284</v>
      </c>
      <c r="E29" t="s">
        <v>284</v>
      </c>
      <c r="F29" t="s">
        <v>284</v>
      </c>
      <c r="G29" t="s">
        <v>284</v>
      </c>
      <c r="H29" t="s">
        <v>284</v>
      </c>
      <c r="I29">
        <v>268.45999999999998</v>
      </c>
      <c r="J29">
        <v>12.5</v>
      </c>
      <c r="K29">
        <v>14.51</v>
      </c>
      <c r="L29">
        <v>481.29</v>
      </c>
      <c r="M29" t="s">
        <v>284</v>
      </c>
      <c r="N29" t="s">
        <v>284</v>
      </c>
      <c r="O29" t="s">
        <v>284</v>
      </c>
      <c r="P29" t="s">
        <v>284</v>
      </c>
      <c r="Q29" t="s">
        <v>284</v>
      </c>
    </row>
    <row r="30" spans="1:17" x14ac:dyDescent="0.2">
      <c r="A30" t="s">
        <v>302</v>
      </c>
      <c r="B30" t="s">
        <v>303</v>
      </c>
      <c r="C30" t="s">
        <v>183</v>
      </c>
      <c r="D30" t="s">
        <v>284</v>
      </c>
      <c r="E30" t="s">
        <v>284</v>
      </c>
      <c r="F30" t="s">
        <v>284</v>
      </c>
      <c r="G30" t="s">
        <v>284</v>
      </c>
      <c r="H30" t="s">
        <v>284</v>
      </c>
      <c r="I30">
        <v>89.57</v>
      </c>
      <c r="J30">
        <v>17.82</v>
      </c>
      <c r="K30" t="s">
        <v>284</v>
      </c>
      <c r="L30">
        <v>572.75</v>
      </c>
      <c r="M30" t="s">
        <v>284</v>
      </c>
      <c r="N30" t="s">
        <v>284</v>
      </c>
      <c r="O30" t="s">
        <v>284</v>
      </c>
      <c r="P30" t="s">
        <v>284</v>
      </c>
      <c r="Q30" t="s">
        <v>284</v>
      </c>
    </row>
    <row r="31" spans="1:17" x14ac:dyDescent="0.2">
      <c r="A31" t="s">
        <v>305</v>
      </c>
      <c r="B31" t="s">
        <v>306</v>
      </c>
      <c r="C31" t="s">
        <v>184</v>
      </c>
      <c r="D31" t="s">
        <v>284</v>
      </c>
      <c r="E31" t="s">
        <v>284</v>
      </c>
      <c r="F31" t="s">
        <v>284</v>
      </c>
      <c r="G31" t="s">
        <v>284</v>
      </c>
      <c r="H31" t="s">
        <v>284</v>
      </c>
      <c r="I31">
        <v>18.55</v>
      </c>
      <c r="J31">
        <v>9.91</v>
      </c>
      <c r="K31" t="s">
        <v>284</v>
      </c>
      <c r="L31">
        <v>310.22000000000003</v>
      </c>
      <c r="M31" t="s">
        <v>284</v>
      </c>
      <c r="N31" t="s">
        <v>284</v>
      </c>
      <c r="O31" t="s">
        <v>284</v>
      </c>
      <c r="P31" t="s">
        <v>284</v>
      </c>
      <c r="Q31" t="s">
        <v>284</v>
      </c>
    </row>
    <row r="32" spans="1:17" x14ac:dyDescent="0.2">
      <c r="A32" t="s">
        <v>307</v>
      </c>
      <c r="B32" t="s">
        <v>308</v>
      </c>
      <c r="C32" t="s">
        <v>185</v>
      </c>
      <c r="D32" t="s">
        <v>284</v>
      </c>
      <c r="E32" t="s">
        <v>284</v>
      </c>
      <c r="F32" t="s">
        <v>284</v>
      </c>
      <c r="G32" t="s">
        <v>284</v>
      </c>
      <c r="H32" t="s">
        <v>284</v>
      </c>
      <c r="I32">
        <v>94.03</v>
      </c>
      <c r="J32">
        <v>6.49</v>
      </c>
      <c r="K32" t="s">
        <v>284</v>
      </c>
      <c r="L32">
        <v>497.67</v>
      </c>
      <c r="M32" t="s">
        <v>284</v>
      </c>
      <c r="N32" t="s">
        <v>284</v>
      </c>
      <c r="O32" t="s">
        <v>284</v>
      </c>
      <c r="P32" t="s">
        <v>284</v>
      </c>
      <c r="Q32" t="s">
        <v>284</v>
      </c>
    </row>
    <row r="33" spans="1:17" x14ac:dyDescent="0.2">
      <c r="A33" t="s">
        <v>309</v>
      </c>
      <c r="B33" t="s">
        <v>310</v>
      </c>
      <c r="C33" t="s">
        <v>186</v>
      </c>
      <c r="D33" t="s">
        <v>284</v>
      </c>
      <c r="E33" t="s">
        <v>284</v>
      </c>
      <c r="F33" t="s">
        <v>284</v>
      </c>
      <c r="G33" t="s">
        <v>284</v>
      </c>
      <c r="H33">
        <v>6.32</v>
      </c>
      <c r="I33">
        <v>13.61</v>
      </c>
      <c r="J33">
        <v>14.37</v>
      </c>
      <c r="K33" t="s">
        <v>284</v>
      </c>
      <c r="L33">
        <v>701.63</v>
      </c>
      <c r="M33" t="s">
        <v>284</v>
      </c>
      <c r="N33" t="s">
        <v>284</v>
      </c>
      <c r="O33" t="s">
        <v>284</v>
      </c>
      <c r="P33" t="s">
        <v>284</v>
      </c>
      <c r="Q33" t="s">
        <v>284</v>
      </c>
    </row>
    <row r="34" spans="1:17" x14ac:dyDescent="0.2">
      <c r="A34" t="s">
        <v>312</v>
      </c>
      <c r="B34" t="s">
        <v>313</v>
      </c>
      <c r="C34" t="s">
        <v>187</v>
      </c>
      <c r="D34" t="s">
        <v>284</v>
      </c>
      <c r="E34" t="s">
        <v>284</v>
      </c>
      <c r="F34" t="s">
        <v>284</v>
      </c>
      <c r="G34" t="s">
        <v>284</v>
      </c>
      <c r="H34" t="s">
        <v>284</v>
      </c>
      <c r="I34">
        <v>24.86</v>
      </c>
      <c r="J34">
        <v>8.5399999999999991</v>
      </c>
      <c r="K34" t="s">
        <v>284</v>
      </c>
      <c r="L34">
        <v>715.03</v>
      </c>
      <c r="M34" t="s">
        <v>284</v>
      </c>
      <c r="N34" t="s">
        <v>284</v>
      </c>
      <c r="O34" t="s">
        <v>284</v>
      </c>
      <c r="P34" t="s">
        <v>284</v>
      </c>
      <c r="Q34" t="s">
        <v>284</v>
      </c>
    </row>
    <row r="35" spans="1:17" x14ac:dyDescent="0.2">
      <c r="A35" t="s">
        <v>315</v>
      </c>
      <c r="B35" t="s">
        <v>316</v>
      </c>
      <c r="C35" t="s">
        <v>188</v>
      </c>
      <c r="D35" t="s">
        <v>284</v>
      </c>
      <c r="E35" t="s">
        <v>284</v>
      </c>
      <c r="F35" t="s">
        <v>284</v>
      </c>
      <c r="G35" t="s">
        <v>284</v>
      </c>
      <c r="H35" t="s">
        <v>284</v>
      </c>
      <c r="I35" t="s">
        <v>284</v>
      </c>
      <c r="J35">
        <v>5.41</v>
      </c>
      <c r="K35">
        <v>3.35</v>
      </c>
      <c r="L35">
        <v>584.04</v>
      </c>
      <c r="M35" t="s">
        <v>284</v>
      </c>
      <c r="N35" t="s">
        <v>284</v>
      </c>
      <c r="O35" t="s">
        <v>284</v>
      </c>
      <c r="P35" t="s">
        <v>284</v>
      </c>
      <c r="Q35" t="s">
        <v>284</v>
      </c>
    </row>
    <row r="36" spans="1:17" x14ac:dyDescent="0.2">
      <c r="A36" t="s">
        <v>317</v>
      </c>
      <c r="B36" t="s">
        <v>318</v>
      </c>
      <c r="C36" t="s">
        <v>189</v>
      </c>
      <c r="D36" t="s">
        <v>284</v>
      </c>
      <c r="E36" t="s">
        <v>284</v>
      </c>
      <c r="F36" t="s">
        <v>284</v>
      </c>
      <c r="G36" t="s">
        <v>284</v>
      </c>
      <c r="H36" t="s">
        <v>284</v>
      </c>
      <c r="I36">
        <v>21.74</v>
      </c>
      <c r="J36">
        <v>17.559999999999999</v>
      </c>
      <c r="K36" t="s">
        <v>284</v>
      </c>
      <c r="L36">
        <v>881.99</v>
      </c>
      <c r="M36" t="s">
        <v>284</v>
      </c>
      <c r="N36" t="s">
        <v>284</v>
      </c>
      <c r="O36" t="s">
        <v>284</v>
      </c>
      <c r="P36" t="s">
        <v>284</v>
      </c>
      <c r="Q36" t="s">
        <v>284</v>
      </c>
    </row>
    <row r="37" spans="1:17" x14ac:dyDescent="0.2">
      <c r="A37" t="s">
        <v>319</v>
      </c>
      <c r="B37" t="s">
        <v>320</v>
      </c>
      <c r="C37" t="s">
        <v>190</v>
      </c>
      <c r="D37" t="s">
        <v>284</v>
      </c>
      <c r="E37" t="s">
        <v>284</v>
      </c>
      <c r="F37" t="s">
        <v>284</v>
      </c>
      <c r="G37" t="s">
        <v>284</v>
      </c>
      <c r="H37" t="s">
        <v>284</v>
      </c>
      <c r="I37" t="s">
        <v>284</v>
      </c>
      <c r="J37">
        <v>5.96</v>
      </c>
      <c r="K37" t="s">
        <v>284</v>
      </c>
      <c r="L37">
        <v>346</v>
      </c>
      <c r="M37" t="s">
        <v>284</v>
      </c>
      <c r="N37" t="s">
        <v>284</v>
      </c>
      <c r="O37" t="s">
        <v>284</v>
      </c>
      <c r="P37" t="s">
        <v>284</v>
      </c>
      <c r="Q37" t="s">
        <v>284</v>
      </c>
    </row>
    <row r="38" spans="1:17" x14ac:dyDescent="0.2">
      <c r="A38" t="s">
        <v>321</v>
      </c>
      <c r="B38" t="s">
        <v>322</v>
      </c>
      <c r="C38" t="s">
        <v>191</v>
      </c>
      <c r="D38" t="s">
        <v>284</v>
      </c>
      <c r="E38" t="s">
        <v>284</v>
      </c>
      <c r="F38" t="s">
        <v>284</v>
      </c>
      <c r="G38" t="s">
        <v>284</v>
      </c>
      <c r="H38" t="s">
        <v>284</v>
      </c>
      <c r="I38">
        <v>99.1</v>
      </c>
      <c r="J38">
        <v>53.61</v>
      </c>
      <c r="K38">
        <v>9.86</v>
      </c>
      <c r="L38">
        <v>1452.91</v>
      </c>
      <c r="M38" t="s">
        <v>284</v>
      </c>
      <c r="N38" t="s">
        <v>284</v>
      </c>
      <c r="O38" t="s">
        <v>284</v>
      </c>
      <c r="P38" t="s">
        <v>284</v>
      </c>
      <c r="Q38" t="s">
        <v>284</v>
      </c>
    </row>
    <row r="39" spans="1:17" x14ac:dyDescent="0.2">
      <c r="A39" t="s">
        <v>323</v>
      </c>
      <c r="B39" t="s">
        <v>324</v>
      </c>
      <c r="C39" t="s">
        <v>192</v>
      </c>
      <c r="D39" t="s">
        <v>284</v>
      </c>
      <c r="E39" t="s">
        <v>284</v>
      </c>
      <c r="F39" t="s">
        <v>284</v>
      </c>
      <c r="G39" t="s">
        <v>284</v>
      </c>
      <c r="H39" t="s">
        <v>284</v>
      </c>
      <c r="I39">
        <v>16.11</v>
      </c>
      <c r="J39">
        <v>20.76</v>
      </c>
      <c r="K39" t="s">
        <v>284</v>
      </c>
      <c r="L39">
        <v>774.66</v>
      </c>
      <c r="M39" t="s">
        <v>284</v>
      </c>
      <c r="N39" t="s">
        <v>284</v>
      </c>
      <c r="O39" t="s">
        <v>284</v>
      </c>
      <c r="P39" t="s">
        <v>284</v>
      </c>
      <c r="Q39" t="s">
        <v>284</v>
      </c>
    </row>
    <row r="40" spans="1:17" x14ac:dyDescent="0.2">
      <c r="A40" t="s">
        <v>325</v>
      </c>
      <c r="B40" t="s">
        <v>326</v>
      </c>
      <c r="C40" t="s">
        <v>193</v>
      </c>
      <c r="D40" t="s">
        <v>284</v>
      </c>
      <c r="E40" t="s">
        <v>284</v>
      </c>
      <c r="F40" t="s">
        <v>284</v>
      </c>
      <c r="G40" t="s">
        <v>284</v>
      </c>
      <c r="H40" t="s">
        <v>284</v>
      </c>
      <c r="I40">
        <v>16.11</v>
      </c>
      <c r="J40">
        <v>6.49</v>
      </c>
      <c r="K40" t="s">
        <v>284</v>
      </c>
      <c r="L40">
        <v>488.31</v>
      </c>
      <c r="M40" t="s">
        <v>284</v>
      </c>
      <c r="N40" t="s">
        <v>284</v>
      </c>
      <c r="O40" t="s">
        <v>284</v>
      </c>
      <c r="P40" t="s">
        <v>284</v>
      </c>
      <c r="Q40" t="s">
        <v>284</v>
      </c>
    </row>
    <row r="41" spans="1:17" x14ac:dyDescent="0.2">
      <c r="A41" t="s">
        <v>327</v>
      </c>
      <c r="B41" t="s">
        <v>328</v>
      </c>
      <c r="C41" t="s">
        <v>194</v>
      </c>
      <c r="D41" t="s">
        <v>284</v>
      </c>
      <c r="E41" t="s">
        <v>284</v>
      </c>
      <c r="F41" t="s">
        <v>284</v>
      </c>
      <c r="G41" t="s">
        <v>284</v>
      </c>
      <c r="H41" t="s">
        <v>284</v>
      </c>
      <c r="I41">
        <v>14.45</v>
      </c>
      <c r="J41" t="s">
        <v>284</v>
      </c>
      <c r="K41" t="s">
        <v>284</v>
      </c>
      <c r="L41">
        <v>276.13</v>
      </c>
      <c r="M41" t="s">
        <v>284</v>
      </c>
      <c r="N41" t="s">
        <v>284</v>
      </c>
      <c r="O41" t="s">
        <v>284</v>
      </c>
      <c r="P41" t="s">
        <v>284</v>
      </c>
      <c r="Q41" t="s">
        <v>284</v>
      </c>
    </row>
    <row r="42" spans="1:17" x14ac:dyDescent="0.2">
      <c r="A42" t="s">
        <v>329</v>
      </c>
      <c r="B42" t="s">
        <v>330</v>
      </c>
      <c r="C42" t="s">
        <v>195</v>
      </c>
      <c r="D42" t="s">
        <v>284</v>
      </c>
      <c r="E42" t="s">
        <v>284</v>
      </c>
      <c r="F42" t="s">
        <v>284</v>
      </c>
      <c r="G42" t="s">
        <v>284</v>
      </c>
      <c r="H42" t="s">
        <v>284</v>
      </c>
      <c r="I42">
        <v>879.06</v>
      </c>
      <c r="J42">
        <v>227.43</v>
      </c>
      <c r="K42">
        <v>34.909999999999997</v>
      </c>
      <c r="L42">
        <v>1076</v>
      </c>
      <c r="M42" t="s">
        <v>284</v>
      </c>
      <c r="N42" t="s">
        <v>284</v>
      </c>
      <c r="O42" t="s">
        <v>284</v>
      </c>
      <c r="P42" t="s">
        <v>284</v>
      </c>
      <c r="Q42" t="s">
        <v>284</v>
      </c>
    </row>
    <row r="43" spans="1:17" x14ac:dyDescent="0.2">
      <c r="A43" t="s">
        <v>331</v>
      </c>
      <c r="B43" t="s">
        <v>332</v>
      </c>
      <c r="C43" t="s">
        <v>196</v>
      </c>
      <c r="D43" t="s">
        <v>284</v>
      </c>
      <c r="E43" t="s">
        <v>284</v>
      </c>
      <c r="F43" t="s">
        <v>284</v>
      </c>
      <c r="G43" t="s">
        <v>284</v>
      </c>
      <c r="H43" t="s">
        <v>284</v>
      </c>
      <c r="I43">
        <v>2566.4</v>
      </c>
      <c r="J43">
        <v>1088.49</v>
      </c>
      <c r="K43">
        <v>422.07</v>
      </c>
      <c r="L43">
        <v>545.49</v>
      </c>
      <c r="M43" t="s">
        <v>284</v>
      </c>
      <c r="N43" t="s">
        <v>284</v>
      </c>
      <c r="O43" t="s">
        <v>284</v>
      </c>
      <c r="P43" t="s">
        <v>284</v>
      </c>
      <c r="Q43" t="s">
        <v>284</v>
      </c>
    </row>
    <row r="44" spans="1:17" x14ac:dyDescent="0.2">
      <c r="A44" t="s">
        <v>334</v>
      </c>
      <c r="B44" t="s">
        <v>335</v>
      </c>
      <c r="C44" t="s">
        <v>197</v>
      </c>
      <c r="D44" t="s">
        <v>284</v>
      </c>
      <c r="E44" t="s">
        <v>284</v>
      </c>
      <c r="F44" t="s">
        <v>284</v>
      </c>
      <c r="G44" t="s">
        <v>284</v>
      </c>
      <c r="H44" t="s">
        <v>284</v>
      </c>
      <c r="I44">
        <v>49.67</v>
      </c>
      <c r="J44">
        <v>16.420000000000002</v>
      </c>
      <c r="K44">
        <v>5.87</v>
      </c>
      <c r="L44">
        <v>330.96</v>
      </c>
      <c r="M44" t="s">
        <v>284</v>
      </c>
      <c r="N44" t="s">
        <v>284</v>
      </c>
      <c r="O44" t="s">
        <v>284</v>
      </c>
      <c r="P44" t="s">
        <v>284</v>
      </c>
      <c r="Q44" t="s">
        <v>284</v>
      </c>
    </row>
    <row r="45" spans="1:17" x14ac:dyDescent="0.2">
      <c r="A45" t="s">
        <v>336</v>
      </c>
      <c r="B45" t="s">
        <v>337</v>
      </c>
      <c r="C45" t="s">
        <v>198</v>
      </c>
      <c r="D45" t="s">
        <v>284</v>
      </c>
      <c r="E45" t="s">
        <v>284</v>
      </c>
      <c r="F45" t="s">
        <v>284</v>
      </c>
      <c r="G45" t="s">
        <v>284</v>
      </c>
      <c r="H45" t="s">
        <v>284</v>
      </c>
      <c r="I45">
        <v>466.22</v>
      </c>
      <c r="J45">
        <v>12.64</v>
      </c>
      <c r="K45">
        <v>9.61</v>
      </c>
      <c r="L45">
        <v>364.78</v>
      </c>
      <c r="M45" t="s">
        <v>284</v>
      </c>
      <c r="N45" t="s">
        <v>284</v>
      </c>
      <c r="O45" t="s">
        <v>284</v>
      </c>
      <c r="P45" t="s">
        <v>284</v>
      </c>
      <c r="Q45" t="s">
        <v>284</v>
      </c>
    </row>
    <row r="46" spans="1:17" x14ac:dyDescent="0.2">
      <c r="A46" t="s">
        <v>339</v>
      </c>
      <c r="B46" t="s">
        <v>340</v>
      </c>
      <c r="C46" t="s">
        <v>199</v>
      </c>
      <c r="D46" t="s">
        <v>284</v>
      </c>
      <c r="E46" t="s">
        <v>284</v>
      </c>
      <c r="F46" t="s">
        <v>284</v>
      </c>
      <c r="G46" t="s">
        <v>284</v>
      </c>
      <c r="H46" t="s">
        <v>284</v>
      </c>
      <c r="I46">
        <v>101.62</v>
      </c>
      <c r="J46">
        <v>12.36</v>
      </c>
      <c r="K46" t="s">
        <v>284</v>
      </c>
      <c r="L46">
        <v>413.48</v>
      </c>
      <c r="M46" t="s">
        <v>284</v>
      </c>
      <c r="N46" t="s">
        <v>284</v>
      </c>
      <c r="O46" t="s">
        <v>284</v>
      </c>
      <c r="P46" t="s">
        <v>284</v>
      </c>
      <c r="Q46" t="s">
        <v>284</v>
      </c>
    </row>
    <row r="47" spans="1:17" x14ac:dyDescent="0.2">
      <c r="A47" t="s">
        <v>342</v>
      </c>
      <c r="B47" t="s">
        <v>343</v>
      </c>
      <c r="C47" t="s">
        <v>200</v>
      </c>
      <c r="D47" t="s">
        <v>284</v>
      </c>
      <c r="E47" t="s">
        <v>284</v>
      </c>
      <c r="F47" t="s">
        <v>284</v>
      </c>
      <c r="G47" t="s">
        <v>284</v>
      </c>
      <c r="H47" t="s">
        <v>284</v>
      </c>
      <c r="I47">
        <v>53.14</v>
      </c>
      <c r="J47">
        <v>7.32</v>
      </c>
      <c r="K47" t="s">
        <v>284</v>
      </c>
      <c r="L47">
        <v>317.77</v>
      </c>
      <c r="M47" t="s">
        <v>284</v>
      </c>
      <c r="N47" t="s">
        <v>284</v>
      </c>
      <c r="O47" t="s">
        <v>284</v>
      </c>
      <c r="P47" t="s">
        <v>284</v>
      </c>
      <c r="Q47" t="s">
        <v>284</v>
      </c>
    </row>
    <row r="48" spans="1:17" x14ac:dyDescent="0.2">
      <c r="A48" t="s">
        <v>344</v>
      </c>
      <c r="B48" t="s">
        <v>345</v>
      </c>
      <c r="C48" t="s">
        <v>201</v>
      </c>
      <c r="D48" t="s">
        <v>284</v>
      </c>
      <c r="E48" t="s">
        <v>284</v>
      </c>
      <c r="F48" t="s">
        <v>284</v>
      </c>
      <c r="G48" t="s">
        <v>284</v>
      </c>
      <c r="H48" t="s">
        <v>284</v>
      </c>
      <c r="I48">
        <v>20.16</v>
      </c>
      <c r="J48">
        <v>12.73</v>
      </c>
      <c r="K48">
        <v>10.17</v>
      </c>
      <c r="L48">
        <v>178.67</v>
      </c>
      <c r="M48" t="s">
        <v>284</v>
      </c>
      <c r="N48" t="s">
        <v>284</v>
      </c>
      <c r="O48" t="s">
        <v>284</v>
      </c>
      <c r="P48" t="s">
        <v>284</v>
      </c>
      <c r="Q48" t="s">
        <v>284</v>
      </c>
    </row>
    <row r="49" spans="1:17" x14ac:dyDescent="0.2">
      <c r="A49" t="s">
        <v>346</v>
      </c>
      <c r="B49" t="s">
        <v>347</v>
      </c>
      <c r="C49" t="s">
        <v>202</v>
      </c>
      <c r="D49" t="s">
        <v>284</v>
      </c>
      <c r="E49" t="s">
        <v>284</v>
      </c>
      <c r="F49" t="s">
        <v>284</v>
      </c>
      <c r="G49" t="s">
        <v>284</v>
      </c>
      <c r="H49" t="s">
        <v>284</v>
      </c>
      <c r="I49">
        <v>27.93</v>
      </c>
      <c r="J49">
        <v>25.41</v>
      </c>
      <c r="K49" t="s">
        <v>284</v>
      </c>
      <c r="L49">
        <v>749.58</v>
      </c>
      <c r="M49" t="s">
        <v>284</v>
      </c>
      <c r="N49" t="s">
        <v>284</v>
      </c>
      <c r="O49" t="s">
        <v>284</v>
      </c>
      <c r="P49" t="s">
        <v>284</v>
      </c>
      <c r="Q49" t="s">
        <v>284</v>
      </c>
    </row>
    <row r="50" spans="1:17" x14ac:dyDescent="0.2">
      <c r="A50" t="s">
        <v>348</v>
      </c>
      <c r="B50" t="s">
        <v>349</v>
      </c>
      <c r="C50" t="s">
        <v>203</v>
      </c>
      <c r="D50" t="s">
        <v>284</v>
      </c>
      <c r="E50" t="s">
        <v>284</v>
      </c>
      <c r="F50" t="s">
        <v>284</v>
      </c>
      <c r="G50" t="s">
        <v>284</v>
      </c>
      <c r="H50" t="s">
        <v>284</v>
      </c>
      <c r="I50">
        <v>46.16</v>
      </c>
      <c r="J50">
        <v>52.63</v>
      </c>
      <c r="K50" t="s">
        <v>284</v>
      </c>
      <c r="L50">
        <v>205.08</v>
      </c>
      <c r="M50" t="s">
        <v>284</v>
      </c>
      <c r="N50" t="s">
        <v>284</v>
      </c>
      <c r="O50" t="s">
        <v>284</v>
      </c>
      <c r="P50">
        <v>13.06</v>
      </c>
      <c r="Q50" t="s">
        <v>284</v>
      </c>
    </row>
    <row r="51" spans="1:17" x14ac:dyDescent="0.2">
      <c r="A51" t="s">
        <v>351</v>
      </c>
      <c r="B51" t="s">
        <v>352</v>
      </c>
      <c r="C51" t="s">
        <v>204</v>
      </c>
      <c r="D51" t="s">
        <v>284</v>
      </c>
      <c r="E51" t="s">
        <v>284</v>
      </c>
      <c r="F51" t="s">
        <v>284</v>
      </c>
      <c r="G51" t="s">
        <v>284</v>
      </c>
      <c r="H51">
        <v>42.71</v>
      </c>
      <c r="I51">
        <v>2182</v>
      </c>
      <c r="J51">
        <v>315.57</v>
      </c>
      <c r="K51">
        <v>48.47</v>
      </c>
      <c r="L51">
        <v>403.19</v>
      </c>
      <c r="M51" t="s">
        <v>284</v>
      </c>
      <c r="N51" t="s">
        <v>284</v>
      </c>
      <c r="O51" t="s">
        <v>284</v>
      </c>
      <c r="P51" t="s">
        <v>284</v>
      </c>
      <c r="Q51" t="s">
        <v>284</v>
      </c>
    </row>
    <row r="52" spans="1:17" x14ac:dyDescent="0.2">
      <c r="A52" t="s">
        <v>353</v>
      </c>
      <c r="B52" t="s">
        <v>354</v>
      </c>
      <c r="C52" t="s">
        <v>205</v>
      </c>
      <c r="D52" t="s">
        <v>284</v>
      </c>
      <c r="E52" t="s">
        <v>284</v>
      </c>
      <c r="F52" t="s">
        <v>284</v>
      </c>
      <c r="G52" t="s">
        <v>284</v>
      </c>
      <c r="H52" t="s">
        <v>284</v>
      </c>
      <c r="I52">
        <v>31.69</v>
      </c>
      <c r="J52">
        <v>12.54</v>
      </c>
      <c r="K52">
        <v>18.25</v>
      </c>
      <c r="L52">
        <v>525.78</v>
      </c>
      <c r="M52" t="s">
        <v>284</v>
      </c>
      <c r="N52" t="s">
        <v>284</v>
      </c>
      <c r="O52" t="s">
        <v>284</v>
      </c>
      <c r="P52" t="s">
        <v>284</v>
      </c>
      <c r="Q52" t="s">
        <v>284</v>
      </c>
    </row>
    <row r="53" spans="1:17" x14ac:dyDescent="0.2">
      <c r="A53" t="s">
        <v>356</v>
      </c>
      <c r="B53" t="s">
        <v>357</v>
      </c>
      <c r="C53" t="s">
        <v>206</v>
      </c>
      <c r="D53" t="s">
        <v>284</v>
      </c>
      <c r="E53" t="s">
        <v>284</v>
      </c>
      <c r="F53" t="s">
        <v>284</v>
      </c>
      <c r="G53" t="s">
        <v>284</v>
      </c>
      <c r="H53" t="s">
        <v>284</v>
      </c>
      <c r="I53" t="s">
        <v>284</v>
      </c>
      <c r="J53">
        <v>29.57</v>
      </c>
      <c r="K53" t="s">
        <v>505</v>
      </c>
      <c r="L53">
        <v>654.01</v>
      </c>
      <c r="M53" t="s">
        <v>284</v>
      </c>
      <c r="N53" t="s">
        <v>284</v>
      </c>
      <c r="O53" t="s">
        <v>284</v>
      </c>
      <c r="P53" t="s">
        <v>284</v>
      </c>
      <c r="Q53" t="s">
        <v>284</v>
      </c>
    </row>
    <row r="54" spans="1:17" x14ac:dyDescent="0.2">
      <c r="A54" t="s">
        <v>358</v>
      </c>
      <c r="B54" t="s">
        <v>359</v>
      </c>
      <c r="C54" t="s">
        <v>207</v>
      </c>
      <c r="D54" t="s">
        <v>284</v>
      </c>
      <c r="E54" t="s">
        <v>284</v>
      </c>
      <c r="F54" t="s">
        <v>284</v>
      </c>
      <c r="G54" t="s">
        <v>284</v>
      </c>
      <c r="H54" t="s">
        <v>284</v>
      </c>
      <c r="I54">
        <v>237.15</v>
      </c>
      <c r="J54">
        <v>61.22</v>
      </c>
      <c r="K54">
        <v>7.77</v>
      </c>
      <c r="L54">
        <v>393.83</v>
      </c>
      <c r="M54" t="s">
        <v>284</v>
      </c>
      <c r="N54" t="s">
        <v>284</v>
      </c>
      <c r="O54" t="s">
        <v>284</v>
      </c>
      <c r="P54" t="s">
        <v>284</v>
      </c>
      <c r="Q54" t="s">
        <v>284</v>
      </c>
    </row>
    <row r="55" spans="1:17" x14ac:dyDescent="0.2">
      <c r="A55" t="s">
        <v>360</v>
      </c>
      <c r="B55" t="s">
        <v>361</v>
      </c>
      <c r="C55" t="s">
        <v>208</v>
      </c>
      <c r="D55" t="s">
        <v>284</v>
      </c>
      <c r="E55" t="s">
        <v>284</v>
      </c>
      <c r="F55" t="s">
        <v>284</v>
      </c>
      <c r="G55" t="s">
        <v>284</v>
      </c>
      <c r="H55" t="s">
        <v>284</v>
      </c>
      <c r="I55">
        <v>48.97</v>
      </c>
      <c r="J55">
        <v>8.5399999999999991</v>
      </c>
      <c r="K55" t="s">
        <v>284</v>
      </c>
      <c r="L55">
        <v>555.82000000000005</v>
      </c>
      <c r="M55" t="s">
        <v>284</v>
      </c>
      <c r="N55" t="s">
        <v>284</v>
      </c>
      <c r="O55" t="s">
        <v>284</v>
      </c>
      <c r="P55" t="s">
        <v>284</v>
      </c>
      <c r="Q55" t="s">
        <v>284</v>
      </c>
    </row>
    <row r="56" spans="1:17" x14ac:dyDescent="0.2">
      <c r="A56" t="s">
        <v>362</v>
      </c>
      <c r="B56" t="s">
        <v>363</v>
      </c>
      <c r="C56" t="s">
        <v>209</v>
      </c>
      <c r="D56" t="s">
        <v>284</v>
      </c>
      <c r="E56" t="s">
        <v>284</v>
      </c>
      <c r="F56" t="s">
        <v>284</v>
      </c>
      <c r="G56" t="s">
        <v>284</v>
      </c>
      <c r="H56" t="s">
        <v>284</v>
      </c>
      <c r="I56">
        <v>46.16</v>
      </c>
      <c r="J56">
        <v>10.67</v>
      </c>
      <c r="K56">
        <v>5.44</v>
      </c>
      <c r="L56">
        <v>550.17999999999995</v>
      </c>
      <c r="M56" t="s">
        <v>284</v>
      </c>
      <c r="N56" t="s">
        <v>284</v>
      </c>
      <c r="O56" t="s">
        <v>284</v>
      </c>
      <c r="P56" t="s">
        <v>284</v>
      </c>
      <c r="Q56" t="s">
        <v>284</v>
      </c>
    </row>
    <row r="57" spans="1:17" x14ac:dyDescent="0.2">
      <c r="A57" t="s">
        <v>364</v>
      </c>
      <c r="B57" t="s">
        <v>365</v>
      </c>
      <c r="C57" t="s">
        <v>210</v>
      </c>
      <c r="D57" t="s">
        <v>284</v>
      </c>
      <c r="E57" t="s">
        <v>284</v>
      </c>
      <c r="F57" t="s">
        <v>284</v>
      </c>
      <c r="G57" t="s">
        <v>284</v>
      </c>
      <c r="H57" t="s">
        <v>284</v>
      </c>
      <c r="I57">
        <v>141.44999999999999</v>
      </c>
      <c r="J57">
        <v>4.04</v>
      </c>
      <c r="K57">
        <v>2.15</v>
      </c>
      <c r="L57">
        <v>246.56</v>
      </c>
      <c r="M57" t="s">
        <v>284</v>
      </c>
      <c r="N57" t="s">
        <v>284</v>
      </c>
      <c r="O57" t="s">
        <v>284</v>
      </c>
      <c r="P57" t="s">
        <v>284</v>
      </c>
      <c r="Q57" t="s">
        <v>284</v>
      </c>
    </row>
    <row r="58" spans="1:17" x14ac:dyDescent="0.2">
      <c r="A58" t="s">
        <v>366</v>
      </c>
      <c r="B58" t="s">
        <v>367</v>
      </c>
      <c r="C58" t="s">
        <v>211</v>
      </c>
      <c r="D58" t="s">
        <v>284</v>
      </c>
      <c r="E58" t="s">
        <v>284</v>
      </c>
      <c r="F58" t="s">
        <v>284</v>
      </c>
      <c r="G58" t="s">
        <v>284</v>
      </c>
      <c r="H58" t="s">
        <v>284</v>
      </c>
      <c r="I58">
        <v>24.86</v>
      </c>
      <c r="J58">
        <v>2.5299999999999998</v>
      </c>
      <c r="K58" t="s">
        <v>284</v>
      </c>
      <c r="L58">
        <v>448.08</v>
      </c>
      <c r="M58" t="s">
        <v>284</v>
      </c>
      <c r="N58" t="s">
        <v>284</v>
      </c>
      <c r="O58" t="s">
        <v>284</v>
      </c>
      <c r="P58" t="s">
        <v>284</v>
      </c>
      <c r="Q58" t="s">
        <v>284</v>
      </c>
    </row>
    <row r="59" spans="1:17" x14ac:dyDescent="0.2">
      <c r="A59" t="s">
        <v>369</v>
      </c>
      <c r="B59" t="s">
        <v>370</v>
      </c>
      <c r="C59" t="s">
        <v>212</v>
      </c>
      <c r="D59" t="s">
        <v>284</v>
      </c>
      <c r="E59" t="s">
        <v>284</v>
      </c>
      <c r="F59" t="s">
        <v>284</v>
      </c>
      <c r="G59" t="s">
        <v>284</v>
      </c>
      <c r="H59" t="s">
        <v>284</v>
      </c>
      <c r="I59" t="s">
        <v>503</v>
      </c>
      <c r="J59">
        <v>4.8499999999999996</v>
      </c>
      <c r="K59" t="s">
        <v>284</v>
      </c>
      <c r="L59">
        <v>380.71</v>
      </c>
      <c r="M59" t="s">
        <v>284</v>
      </c>
      <c r="N59" t="s">
        <v>284</v>
      </c>
      <c r="O59" t="s">
        <v>284</v>
      </c>
      <c r="P59" t="s">
        <v>284</v>
      </c>
      <c r="Q59" t="s">
        <v>284</v>
      </c>
    </row>
    <row r="60" spans="1:17" x14ac:dyDescent="0.2">
      <c r="A60" t="s">
        <v>371</v>
      </c>
      <c r="B60" t="s">
        <v>372</v>
      </c>
      <c r="C60" t="s">
        <v>213</v>
      </c>
      <c r="D60" t="s">
        <v>284</v>
      </c>
      <c r="E60" t="s">
        <v>284</v>
      </c>
      <c r="F60" t="s">
        <v>284</v>
      </c>
      <c r="G60" t="s">
        <v>284</v>
      </c>
      <c r="H60" t="s">
        <v>284</v>
      </c>
      <c r="I60" t="s">
        <v>284</v>
      </c>
      <c r="J60">
        <v>4.51</v>
      </c>
      <c r="K60" t="s">
        <v>284</v>
      </c>
      <c r="L60">
        <v>308.33</v>
      </c>
      <c r="M60" t="s">
        <v>284</v>
      </c>
      <c r="N60" t="s">
        <v>284</v>
      </c>
      <c r="O60" t="s">
        <v>284</v>
      </c>
      <c r="P60" t="s">
        <v>284</v>
      </c>
      <c r="Q60" t="s">
        <v>284</v>
      </c>
    </row>
    <row r="61" spans="1:17" x14ac:dyDescent="0.2">
      <c r="A61" t="s">
        <v>374</v>
      </c>
      <c r="B61" t="s">
        <v>375</v>
      </c>
      <c r="C61" t="s">
        <v>214</v>
      </c>
      <c r="D61" t="s">
        <v>284</v>
      </c>
      <c r="E61" t="s">
        <v>284</v>
      </c>
      <c r="F61" t="s">
        <v>284</v>
      </c>
      <c r="G61" t="s">
        <v>284</v>
      </c>
      <c r="H61" t="s">
        <v>284</v>
      </c>
      <c r="I61">
        <v>249.95</v>
      </c>
      <c r="J61">
        <v>28.66</v>
      </c>
      <c r="K61">
        <v>4.08</v>
      </c>
      <c r="L61">
        <v>384.46</v>
      </c>
      <c r="M61" t="s">
        <v>284</v>
      </c>
      <c r="N61" t="s">
        <v>284</v>
      </c>
      <c r="O61" t="s">
        <v>284</v>
      </c>
      <c r="P61" t="s">
        <v>284</v>
      </c>
      <c r="Q61" t="s">
        <v>284</v>
      </c>
    </row>
    <row r="62" spans="1:17" x14ac:dyDescent="0.2">
      <c r="A62" t="s">
        <v>377</v>
      </c>
      <c r="B62" t="s">
        <v>378</v>
      </c>
      <c r="C62" t="s">
        <v>215</v>
      </c>
      <c r="D62" t="s">
        <v>284</v>
      </c>
      <c r="E62" t="s">
        <v>284</v>
      </c>
      <c r="F62" t="s">
        <v>284</v>
      </c>
      <c r="G62" t="s">
        <v>284</v>
      </c>
      <c r="H62">
        <v>17.149999999999999</v>
      </c>
      <c r="I62">
        <v>1110.18</v>
      </c>
      <c r="J62">
        <v>75.38</v>
      </c>
      <c r="K62" t="s">
        <v>284</v>
      </c>
      <c r="L62">
        <v>1028.01</v>
      </c>
      <c r="M62" t="s">
        <v>284</v>
      </c>
      <c r="N62" t="s">
        <v>284</v>
      </c>
      <c r="O62" t="s">
        <v>284</v>
      </c>
      <c r="P62" t="s">
        <v>284</v>
      </c>
      <c r="Q62" t="s">
        <v>284</v>
      </c>
    </row>
    <row r="63" spans="1:17" x14ac:dyDescent="0.2">
      <c r="A63" t="s">
        <v>379</v>
      </c>
      <c r="B63" t="s">
        <v>380</v>
      </c>
      <c r="C63" t="s">
        <v>216</v>
      </c>
      <c r="D63" t="s">
        <v>284</v>
      </c>
      <c r="E63" t="s">
        <v>284</v>
      </c>
      <c r="F63" t="s">
        <v>284</v>
      </c>
      <c r="G63" t="s">
        <v>284</v>
      </c>
      <c r="H63" t="s">
        <v>284</v>
      </c>
      <c r="I63">
        <v>24.86</v>
      </c>
      <c r="J63">
        <v>12.54</v>
      </c>
      <c r="K63" t="s">
        <v>284</v>
      </c>
      <c r="L63">
        <v>649.27</v>
      </c>
      <c r="M63" t="s">
        <v>284</v>
      </c>
      <c r="N63" t="s">
        <v>284</v>
      </c>
      <c r="O63" t="s">
        <v>284</v>
      </c>
      <c r="P63" t="s">
        <v>284</v>
      </c>
      <c r="Q63" t="s">
        <v>284</v>
      </c>
    </row>
    <row r="64" spans="1:17" x14ac:dyDescent="0.2">
      <c r="A64" t="s">
        <v>381</v>
      </c>
      <c r="B64" t="s">
        <v>382</v>
      </c>
      <c r="C64" t="s">
        <v>217</v>
      </c>
      <c r="D64" t="s">
        <v>284</v>
      </c>
      <c r="E64" t="s">
        <v>284</v>
      </c>
      <c r="F64" t="s">
        <v>284</v>
      </c>
      <c r="G64" t="s">
        <v>284</v>
      </c>
      <c r="H64" t="s">
        <v>284</v>
      </c>
      <c r="I64">
        <v>393.21</v>
      </c>
      <c r="J64">
        <v>19.64</v>
      </c>
      <c r="K64">
        <v>1.84</v>
      </c>
      <c r="L64">
        <v>709.28</v>
      </c>
      <c r="M64" t="s">
        <v>284</v>
      </c>
      <c r="N64" t="s">
        <v>284</v>
      </c>
      <c r="O64" t="s">
        <v>284</v>
      </c>
      <c r="P64" t="s">
        <v>284</v>
      </c>
      <c r="Q64" t="s">
        <v>284</v>
      </c>
    </row>
    <row r="65" spans="1:17" x14ac:dyDescent="0.2">
      <c r="A65" t="s">
        <v>383</v>
      </c>
      <c r="B65" t="s">
        <v>384</v>
      </c>
      <c r="C65" t="s">
        <v>218</v>
      </c>
      <c r="D65" t="s">
        <v>284</v>
      </c>
      <c r="E65" t="s">
        <v>284</v>
      </c>
      <c r="F65" t="s">
        <v>284</v>
      </c>
      <c r="G65" t="s">
        <v>284</v>
      </c>
      <c r="H65" t="s">
        <v>284</v>
      </c>
      <c r="I65">
        <v>39.020000000000003</v>
      </c>
      <c r="J65">
        <v>6.28</v>
      </c>
      <c r="K65" t="s">
        <v>284</v>
      </c>
      <c r="L65">
        <v>585.92999999999995</v>
      </c>
      <c r="M65" t="s">
        <v>284</v>
      </c>
      <c r="N65" t="s">
        <v>284</v>
      </c>
      <c r="O65" t="s">
        <v>284</v>
      </c>
      <c r="P65" t="s">
        <v>284</v>
      </c>
      <c r="Q65" t="s">
        <v>284</v>
      </c>
    </row>
    <row r="66" spans="1:17" x14ac:dyDescent="0.2">
      <c r="A66" t="s">
        <v>386</v>
      </c>
      <c r="B66" t="s">
        <v>387</v>
      </c>
      <c r="C66" t="s">
        <v>219</v>
      </c>
      <c r="D66" t="s">
        <v>284</v>
      </c>
      <c r="E66" t="s">
        <v>284</v>
      </c>
      <c r="F66" t="s">
        <v>284</v>
      </c>
      <c r="G66" t="s">
        <v>284</v>
      </c>
      <c r="H66" t="s">
        <v>284</v>
      </c>
      <c r="I66">
        <v>8.3699999999999992</v>
      </c>
      <c r="J66">
        <v>14.37</v>
      </c>
      <c r="K66" t="s">
        <v>504</v>
      </c>
      <c r="L66">
        <v>1405.9</v>
      </c>
      <c r="M66" t="s">
        <v>284</v>
      </c>
      <c r="N66" t="s">
        <v>284</v>
      </c>
      <c r="O66" t="s">
        <v>284</v>
      </c>
      <c r="P66" t="s">
        <v>284</v>
      </c>
      <c r="Q66" t="s">
        <v>284</v>
      </c>
    </row>
    <row r="67" spans="1:17" x14ac:dyDescent="0.2">
      <c r="A67" t="s">
        <v>388</v>
      </c>
      <c r="B67" t="s">
        <v>389</v>
      </c>
      <c r="C67" t="s">
        <v>220</v>
      </c>
      <c r="D67" t="s">
        <v>284</v>
      </c>
      <c r="E67" t="s">
        <v>284</v>
      </c>
      <c r="F67" t="s">
        <v>284</v>
      </c>
      <c r="G67" t="s">
        <v>284</v>
      </c>
      <c r="H67" t="s">
        <v>284</v>
      </c>
      <c r="I67">
        <v>27.16</v>
      </c>
      <c r="J67" t="s">
        <v>284</v>
      </c>
      <c r="K67" t="s">
        <v>284</v>
      </c>
      <c r="L67">
        <v>782.4</v>
      </c>
      <c r="M67" t="s">
        <v>284</v>
      </c>
      <c r="N67" t="s">
        <v>284</v>
      </c>
      <c r="O67" t="s">
        <v>284</v>
      </c>
      <c r="P67" t="s">
        <v>284</v>
      </c>
      <c r="Q67" t="s">
        <v>284</v>
      </c>
    </row>
    <row r="68" spans="1:17" x14ac:dyDescent="0.2">
      <c r="A68" t="s">
        <v>391</v>
      </c>
      <c r="B68" t="s">
        <v>392</v>
      </c>
      <c r="C68" t="s">
        <v>221</v>
      </c>
      <c r="D68" t="s">
        <v>284</v>
      </c>
      <c r="E68" t="s">
        <v>284</v>
      </c>
      <c r="F68" t="s">
        <v>284</v>
      </c>
      <c r="G68" t="s">
        <v>284</v>
      </c>
      <c r="H68" t="s">
        <v>284</v>
      </c>
      <c r="I68">
        <v>51.06</v>
      </c>
      <c r="J68">
        <v>55.41</v>
      </c>
      <c r="K68" t="s">
        <v>284</v>
      </c>
      <c r="L68">
        <v>625.58000000000004</v>
      </c>
      <c r="M68" t="s">
        <v>284</v>
      </c>
      <c r="N68" t="s">
        <v>284</v>
      </c>
      <c r="O68" t="s">
        <v>284</v>
      </c>
      <c r="P68" t="s">
        <v>284</v>
      </c>
      <c r="Q68" t="s">
        <v>284</v>
      </c>
    </row>
    <row r="69" spans="1:17" x14ac:dyDescent="0.2">
      <c r="A69" t="s">
        <v>394</v>
      </c>
      <c r="B69" t="s">
        <v>395</v>
      </c>
      <c r="C69" t="s">
        <v>222</v>
      </c>
      <c r="D69" t="s">
        <v>284</v>
      </c>
      <c r="E69" t="s">
        <v>284</v>
      </c>
      <c r="F69" t="s">
        <v>284</v>
      </c>
      <c r="G69" t="s">
        <v>284</v>
      </c>
      <c r="H69" t="s">
        <v>284</v>
      </c>
      <c r="I69">
        <v>296.05</v>
      </c>
      <c r="J69">
        <v>103.24</v>
      </c>
      <c r="K69">
        <v>35.65</v>
      </c>
      <c r="L69">
        <v>415.35</v>
      </c>
      <c r="M69" t="s">
        <v>284</v>
      </c>
      <c r="N69" t="s">
        <v>284</v>
      </c>
      <c r="O69" t="s">
        <v>284</v>
      </c>
      <c r="P69" t="s">
        <v>284</v>
      </c>
      <c r="Q69" t="s">
        <v>284</v>
      </c>
    </row>
    <row r="70" spans="1:17" x14ac:dyDescent="0.2">
      <c r="A70" t="s">
        <v>396</v>
      </c>
      <c r="B70" t="s">
        <v>397</v>
      </c>
      <c r="C70" t="s">
        <v>223</v>
      </c>
      <c r="D70" t="s">
        <v>284</v>
      </c>
      <c r="E70" t="s">
        <v>284</v>
      </c>
      <c r="F70" t="s">
        <v>284</v>
      </c>
      <c r="G70" t="s">
        <v>284</v>
      </c>
      <c r="H70" t="s">
        <v>284</v>
      </c>
      <c r="I70">
        <v>53.83</v>
      </c>
      <c r="J70">
        <v>4.28</v>
      </c>
      <c r="K70" t="s">
        <v>284</v>
      </c>
      <c r="L70">
        <v>341.31</v>
      </c>
      <c r="M70" t="s">
        <v>284</v>
      </c>
      <c r="N70" t="s">
        <v>284</v>
      </c>
      <c r="O70" t="s">
        <v>284</v>
      </c>
      <c r="P70" t="s">
        <v>284</v>
      </c>
      <c r="Q70" t="s">
        <v>284</v>
      </c>
    </row>
    <row r="71" spans="1:17" x14ac:dyDescent="0.2">
      <c r="A71" t="s">
        <v>399</v>
      </c>
      <c r="B71" t="s">
        <v>400</v>
      </c>
      <c r="C71" t="s">
        <v>224</v>
      </c>
      <c r="D71" t="s">
        <v>284</v>
      </c>
      <c r="E71" t="s">
        <v>284</v>
      </c>
      <c r="F71" t="s">
        <v>284</v>
      </c>
      <c r="G71" t="s">
        <v>284</v>
      </c>
      <c r="H71" t="s">
        <v>284</v>
      </c>
      <c r="I71">
        <v>12.76</v>
      </c>
      <c r="J71" t="s">
        <v>522</v>
      </c>
      <c r="K71" t="s">
        <v>284</v>
      </c>
      <c r="L71">
        <v>305.97000000000003</v>
      </c>
      <c r="M71" t="s">
        <v>284</v>
      </c>
      <c r="N71" t="s">
        <v>284</v>
      </c>
      <c r="O71" t="s">
        <v>284</v>
      </c>
      <c r="P71" t="s">
        <v>284</v>
      </c>
      <c r="Q71" t="s">
        <v>284</v>
      </c>
    </row>
    <row r="72" spans="1:17" x14ac:dyDescent="0.2">
      <c r="A72" t="s">
        <v>403</v>
      </c>
      <c r="B72" t="s">
        <v>404</v>
      </c>
      <c r="C72" t="s">
        <v>225</v>
      </c>
      <c r="D72" t="s">
        <v>284</v>
      </c>
      <c r="E72" t="s">
        <v>284</v>
      </c>
      <c r="F72" t="s">
        <v>284</v>
      </c>
      <c r="G72" t="s">
        <v>284</v>
      </c>
      <c r="H72" t="s">
        <v>284</v>
      </c>
      <c r="I72">
        <v>377.93</v>
      </c>
      <c r="J72">
        <v>244.7</v>
      </c>
      <c r="K72">
        <v>27.02</v>
      </c>
      <c r="L72">
        <v>604.32000000000005</v>
      </c>
      <c r="M72" t="s">
        <v>284</v>
      </c>
      <c r="N72" t="s">
        <v>284</v>
      </c>
      <c r="O72" t="s">
        <v>284</v>
      </c>
      <c r="P72" t="s">
        <v>284</v>
      </c>
      <c r="Q72" t="s">
        <v>284</v>
      </c>
    </row>
    <row r="73" spans="1:17" x14ac:dyDescent="0.2">
      <c r="A73" t="s">
        <v>406</v>
      </c>
      <c r="B73" t="s">
        <v>407</v>
      </c>
      <c r="C73" t="s">
        <v>226</v>
      </c>
      <c r="D73" t="s">
        <v>284</v>
      </c>
      <c r="E73" t="s">
        <v>284</v>
      </c>
      <c r="F73" t="s">
        <v>284</v>
      </c>
      <c r="G73" t="s">
        <v>284</v>
      </c>
      <c r="H73" t="s">
        <v>284</v>
      </c>
      <c r="I73">
        <v>42.97</v>
      </c>
      <c r="J73">
        <v>24.07</v>
      </c>
      <c r="K73">
        <v>21.48</v>
      </c>
      <c r="L73">
        <v>644.04999999999995</v>
      </c>
      <c r="M73" t="s">
        <v>284</v>
      </c>
      <c r="N73" t="s">
        <v>284</v>
      </c>
      <c r="O73" t="s">
        <v>284</v>
      </c>
      <c r="P73" t="s">
        <v>284</v>
      </c>
      <c r="Q73" t="s">
        <v>284</v>
      </c>
    </row>
    <row r="74" spans="1:17" x14ac:dyDescent="0.2">
      <c r="A74" t="s">
        <v>408</v>
      </c>
      <c r="B74" t="s">
        <v>409</v>
      </c>
      <c r="C74" t="s">
        <v>227</v>
      </c>
      <c r="D74" t="s">
        <v>284</v>
      </c>
      <c r="E74" t="s">
        <v>284</v>
      </c>
      <c r="F74" t="s">
        <v>284</v>
      </c>
      <c r="G74" t="s">
        <v>284</v>
      </c>
      <c r="H74" t="s">
        <v>284</v>
      </c>
      <c r="I74">
        <v>189.85</v>
      </c>
      <c r="J74">
        <v>13.37</v>
      </c>
      <c r="K74">
        <v>3.88</v>
      </c>
      <c r="L74">
        <v>541.73</v>
      </c>
      <c r="M74" t="s">
        <v>284</v>
      </c>
      <c r="N74" t="s">
        <v>284</v>
      </c>
      <c r="O74" t="s">
        <v>284</v>
      </c>
      <c r="P74" t="s">
        <v>284</v>
      </c>
      <c r="Q74" t="s">
        <v>284</v>
      </c>
    </row>
    <row r="75" spans="1:17" x14ac:dyDescent="0.2">
      <c r="A75" t="s">
        <v>410</v>
      </c>
      <c r="B75" t="s">
        <v>411</v>
      </c>
      <c r="C75" t="s">
        <v>228</v>
      </c>
      <c r="D75" t="s">
        <v>284</v>
      </c>
      <c r="E75" t="s">
        <v>284</v>
      </c>
      <c r="F75" t="s">
        <v>284</v>
      </c>
      <c r="G75" t="s">
        <v>284</v>
      </c>
      <c r="H75" t="s">
        <v>284</v>
      </c>
      <c r="I75" t="s">
        <v>521</v>
      </c>
      <c r="J75" t="s">
        <v>284</v>
      </c>
      <c r="K75" t="s">
        <v>284</v>
      </c>
      <c r="L75">
        <v>247.04</v>
      </c>
      <c r="M75" t="s">
        <v>284</v>
      </c>
      <c r="N75" t="s">
        <v>284</v>
      </c>
      <c r="O75" t="s">
        <v>284</v>
      </c>
      <c r="P75" t="s">
        <v>284</v>
      </c>
      <c r="Q75" t="s">
        <v>284</v>
      </c>
    </row>
    <row r="76" spans="1:17" x14ac:dyDescent="0.2">
      <c r="A76" t="s">
        <v>412</v>
      </c>
      <c r="B76" t="s">
        <v>413</v>
      </c>
      <c r="C76" t="s">
        <v>229</v>
      </c>
      <c r="D76" t="s">
        <v>284</v>
      </c>
      <c r="E76" t="s">
        <v>284</v>
      </c>
      <c r="F76" t="s">
        <v>284</v>
      </c>
      <c r="G76" t="s">
        <v>284</v>
      </c>
      <c r="H76" t="s">
        <v>284</v>
      </c>
      <c r="I76" t="s">
        <v>284</v>
      </c>
      <c r="J76" t="s">
        <v>284</v>
      </c>
      <c r="K76" t="s">
        <v>284</v>
      </c>
      <c r="L76">
        <v>776.11</v>
      </c>
      <c r="M76" t="s">
        <v>284</v>
      </c>
      <c r="N76" t="s">
        <v>284</v>
      </c>
      <c r="O76" t="s">
        <v>284</v>
      </c>
      <c r="P76" t="s">
        <v>284</v>
      </c>
      <c r="Q76" t="s">
        <v>284</v>
      </c>
    </row>
    <row r="77" spans="1:17" x14ac:dyDescent="0.2">
      <c r="A77" t="s">
        <v>414</v>
      </c>
      <c r="B77" t="s">
        <v>415</v>
      </c>
      <c r="C77" t="s">
        <v>230</v>
      </c>
      <c r="D77" t="s">
        <v>284</v>
      </c>
      <c r="E77" t="s">
        <v>284</v>
      </c>
      <c r="F77" t="s">
        <v>284</v>
      </c>
      <c r="G77" t="s">
        <v>284</v>
      </c>
      <c r="H77" t="s">
        <v>284</v>
      </c>
      <c r="I77" t="s">
        <v>502</v>
      </c>
      <c r="J77" t="s">
        <v>284</v>
      </c>
      <c r="K77">
        <v>10.6</v>
      </c>
      <c r="L77">
        <v>279.93</v>
      </c>
      <c r="M77" t="s">
        <v>284</v>
      </c>
      <c r="N77" t="s">
        <v>284</v>
      </c>
      <c r="O77" t="s">
        <v>284</v>
      </c>
      <c r="P77" t="s">
        <v>284</v>
      </c>
      <c r="Q77" t="s">
        <v>284</v>
      </c>
    </row>
    <row r="78" spans="1:17" x14ac:dyDescent="0.2">
      <c r="A78" t="s">
        <v>416</v>
      </c>
      <c r="B78" t="s">
        <v>417</v>
      </c>
      <c r="C78" t="s">
        <v>231</v>
      </c>
      <c r="D78" t="s">
        <v>284</v>
      </c>
      <c r="E78" t="s">
        <v>284</v>
      </c>
      <c r="F78" t="s">
        <v>284</v>
      </c>
      <c r="G78" t="s">
        <v>284</v>
      </c>
      <c r="H78" t="s">
        <v>284</v>
      </c>
      <c r="I78">
        <v>26.4</v>
      </c>
      <c r="J78" t="s">
        <v>520</v>
      </c>
      <c r="K78" t="s">
        <v>284</v>
      </c>
      <c r="L78">
        <v>237.93</v>
      </c>
      <c r="M78" t="s">
        <v>284</v>
      </c>
      <c r="N78" t="s">
        <v>284</v>
      </c>
      <c r="O78" t="s">
        <v>284</v>
      </c>
      <c r="P78" t="s">
        <v>284</v>
      </c>
      <c r="Q78" t="s">
        <v>284</v>
      </c>
    </row>
    <row r="81" spans="1:17" x14ac:dyDescent="0.2">
      <c r="A81" s="7"/>
      <c r="B81" s="7"/>
      <c r="C81" s="7"/>
      <c r="D81" s="7" t="s">
        <v>239</v>
      </c>
      <c r="E81" s="7" t="s">
        <v>240</v>
      </c>
      <c r="F81" s="7" t="s">
        <v>241</v>
      </c>
      <c r="G81" s="7" t="s">
        <v>242</v>
      </c>
      <c r="H81" s="7" t="s">
        <v>243</v>
      </c>
      <c r="I81" s="7" t="s">
        <v>244</v>
      </c>
      <c r="J81" s="7" t="s">
        <v>245</v>
      </c>
      <c r="K81" s="7" t="s">
        <v>246</v>
      </c>
      <c r="L81" s="7" t="s">
        <v>247</v>
      </c>
      <c r="M81" s="7" t="s">
        <v>248</v>
      </c>
      <c r="N81" s="7" t="s">
        <v>249</v>
      </c>
      <c r="O81" s="7" t="s">
        <v>250</v>
      </c>
      <c r="P81" s="7" t="s">
        <v>251</v>
      </c>
      <c r="Q81" s="7" t="s">
        <v>252</v>
      </c>
    </row>
    <row r="82" spans="1:17" x14ac:dyDescent="0.2">
      <c r="A82" s="7" t="s">
        <v>116</v>
      </c>
      <c r="B82" s="7" t="s">
        <v>253</v>
      </c>
      <c r="C82" s="7" t="s">
        <v>254</v>
      </c>
      <c r="D82" s="7" t="s">
        <v>255</v>
      </c>
      <c r="E82" s="7" t="s">
        <v>255</v>
      </c>
      <c r="F82" s="7" t="s">
        <v>255</v>
      </c>
      <c r="G82" s="7" t="s">
        <v>255</v>
      </c>
      <c r="H82" s="7" t="s">
        <v>255</v>
      </c>
      <c r="I82" s="7" t="s">
        <v>255</v>
      </c>
      <c r="J82" s="7" t="s">
        <v>255</v>
      </c>
      <c r="K82" s="7" t="s">
        <v>255</v>
      </c>
      <c r="L82" s="7" t="s">
        <v>255</v>
      </c>
      <c r="M82" s="7" t="s">
        <v>255</v>
      </c>
      <c r="N82" s="7" t="s">
        <v>255</v>
      </c>
      <c r="O82" s="7" t="s">
        <v>255</v>
      </c>
      <c r="P82" s="7" t="s">
        <v>255</v>
      </c>
      <c r="Q82" s="7" t="s">
        <v>255</v>
      </c>
    </row>
    <row r="83" spans="1:17" x14ac:dyDescent="0.2">
      <c r="A83" t="s">
        <v>256</v>
      </c>
      <c r="B83" t="s">
        <v>419</v>
      </c>
    </row>
    <row r="84" spans="1:17" x14ac:dyDescent="0.2">
      <c r="A84" t="s">
        <v>256</v>
      </c>
      <c r="B84" t="s">
        <v>420</v>
      </c>
    </row>
    <row r="85" spans="1:17" x14ac:dyDescent="0.2">
      <c r="A85" t="s">
        <v>258</v>
      </c>
      <c r="B85" t="s">
        <v>421</v>
      </c>
      <c r="E85" t="s">
        <v>519</v>
      </c>
      <c r="H85" t="s">
        <v>518</v>
      </c>
      <c r="J85" t="s">
        <v>517</v>
      </c>
      <c r="K85">
        <v>6682.1</v>
      </c>
      <c r="M85" t="s">
        <v>516</v>
      </c>
      <c r="N85">
        <v>14422.94</v>
      </c>
      <c r="P85" t="s">
        <v>515</v>
      </c>
    </row>
    <row r="86" spans="1:17" x14ac:dyDescent="0.2">
      <c r="A86" t="s">
        <v>258</v>
      </c>
      <c r="B86" t="s">
        <v>422</v>
      </c>
      <c r="E86">
        <v>11235.99</v>
      </c>
      <c r="H86">
        <v>26978.2</v>
      </c>
      <c r="J86">
        <v>8826.7099999999991</v>
      </c>
      <c r="K86" t="s">
        <v>514</v>
      </c>
      <c r="M86">
        <v>26155.26</v>
      </c>
      <c r="N86" t="s">
        <v>513</v>
      </c>
      <c r="P86">
        <v>23906.51</v>
      </c>
    </row>
    <row r="87" spans="1:17" x14ac:dyDescent="0.2">
      <c r="A87" t="s">
        <v>260</v>
      </c>
      <c r="B87" t="s">
        <v>274</v>
      </c>
      <c r="D87">
        <v>25860.29</v>
      </c>
      <c r="E87">
        <v>2862.18</v>
      </c>
      <c r="F87">
        <v>7876.27</v>
      </c>
      <c r="G87">
        <v>14042.57</v>
      </c>
      <c r="H87">
        <v>10056.540000000001</v>
      </c>
      <c r="I87">
        <v>8943.76</v>
      </c>
      <c r="J87">
        <v>2427.16</v>
      </c>
      <c r="K87">
        <v>1645.82</v>
      </c>
      <c r="L87" t="s">
        <v>512</v>
      </c>
      <c r="M87">
        <v>8255.8799999999992</v>
      </c>
      <c r="N87">
        <v>4195.25</v>
      </c>
      <c r="P87">
        <v>6646.76</v>
      </c>
      <c r="Q87">
        <v>13142.29</v>
      </c>
    </row>
    <row r="88" spans="1:17" x14ac:dyDescent="0.2">
      <c r="A88" t="s">
        <v>260</v>
      </c>
      <c r="B88" t="s">
        <v>428</v>
      </c>
      <c r="E88">
        <v>2501.31</v>
      </c>
      <c r="H88">
        <v>8936.35</v>
      </c>
      <c r="J88">
        <v>2203.65</v>
      </c>
      <c r="K88">
        <v>1584.02</v>
      </c>
      <c r="L88">
        <v>11920</v>
      </c>
      <c r="M88">
        <v>6805.31</v>
      </c>
      <c r="N88">
        <v>3556.43</v>
      </c>
      <c r="P88">
        <v>5907.41</v>
      </c>
    </row>
    <row r="89" spans="1:17" x14ac:dyDescent="0.2">
      <c r="A89" t="s">
        <v>262</v>
      </c>
      <c r="B89" t="s">
        <v>433</v>
      </c>
      <c r="D89">
        <v>4803</v>
      </c>
      <c r="E89">
        <v>666.5</v>
      </c>
      <c r="F89">
        <v>1694.89</v>
      </c>
      <c r="G89">
        <v>3054.32</v>
      </c>
      <c r="H89">
        <v>1852</v>
      </c>
      <c r="I89">
        <v>2208.87</v>
      </c>
      <c r="J89">
        <v>595.89</v>
      </c>
      <c r="K89">
        <v>439.06</v>
      </c>
      <c r="L89">
        <v>3259.19</v>
      </c>
      <c r="M89">
        <v>1753.12</v>
      </c>
      <c r="N89">
        <v>901.3</v>
      </c>
      <c r="O89">
        <v>2758.26</v>
      </c>
      <c r="P89">
        <v>1541</v>
      </c>
    </row>
    <row r="90" spans="1:17" x14ac:dyDescent="0.2">
      <c r="A90" t="s">
        <v>262</v>
      </c>
      <c r="B90" t="s">
        <v>435</v>
      </c>
      <c r="D90">
        <v>5263.66</v>
      </c>
      <c r="E90">
        <v>733.06</v>
      </c>
      <c r="F90">
        <v>1836.88</v>
      </c>
      <c r="G90">
        <v>3353.89</v>
      </c>
      <c r="H90">
        <v>1897.33</v>
      </c>
      <c r="J90">
        <v>606.4</v>
      </c>
      <c r="K90">
        <v>438.41</v>
      </c>
      <c r="L90">
        <v>3619.43</v>
      </c>
      <c r="M90">
        <v>1755.92</v>
      </c>
      <c r="N90">
        <v>962.39</v>
      </c>
      <c r="P90">
        <v>1450.88</v>
      </c>
      <c r="Q90">
        <v>3056.26</v>
      </c>
    </row>
    <row r="91" spans="1:17" x14ac:dyDescent="0.2">
      <c r="A91" t="s">
        <v>264</v>
      </c>
      <c r="B91" t="s">
        <v>436</v>
      </c>
      <c r="D91">
        <v>1362.32</v>
      </c>
      <c r="E91">
        <v>189.58</v>
      </c>
      <c r="F91">
        <v>477.72</v>
      </c>
      <c r="G91">
        <v>891.76</v>
      </c>
      <c r="H91">
        <v>526.79999999999995</v>
      </c>
      <c r="I91">
        <v>578.57000000000005</v>
      </c>
      <c r="J91">
        <v>152.72999999999999</v>
      </c>
      <c r="K91">
        <v>102.21</v>
      </c>
      <c r="L91">
        <v>850.55</v>
      </c>
      <c r="M91">
        <v>460.27</v>
      </c>
      <c r="N91">
        <v>242.92</v>
      </c>
      <c r="O91">
        <v>692.18</v>
      </c>
      <c r="P91">
        <v>391.36</v>
      </c>
      <c r="Q91">
        <v>789.38</v>
      </c>
    </row>
    <row r="92" spans="1:17" x14ac:dyDescent="0.2">
      <c r="A92" t="s">
        <v>264</v>
      </c>
      <c r="B92" t="s">
        <v>437</v>
      </c>
      <c r="D92">
        <v>1440.71</v>
      </c>
      <c r="E92">
        <v>179.4</v>
      </c>
      <c r="F92">
        <v>481.57</v>
      </c>
      <c r="G92">
        <v>882.3</v>
      </c>
      <c r="H92">
        <v>571.80999999999995</v>
      </c>
      <c r="I92">
        <v>577.54999999999995</v>
      </c>
      <c r="J92">
        <v>157.88</v>
      </c>
      <c r="K92">
        <v>107.17</v>
      </c>
      <c r="L92">
        <v>887.9</v>
      </c>
      <c r="M92">
        <v>473.73</v>
      </c>
      <c r="N92">
        <v>247.68</v>
      </c>
      <c r="O92">
        <v>697.12</v>
      </c>
      <c r="P92">
        <v>407.52</v>
      </c>
      <c r="Q92">
        <v>749.17</v>
      </c>
    </row>
    <row r="93" spans="1:17" x14ac:dyDescent="0.2">
      <c r="A93" t="s">
        <v>266</v>
      </c>
      <c r="B93" t="s">
        <v>438</v>
      </c>
      <c r="D93">
        <v>321.41000000000003</v>
      </c>
      <c r="E93">
        <v>44.23</v>
      </c>
      <c r="F93">
        <v>112.22</v>
      </c>
      <c r="G93">
        <v>202.57</v>
      </c>
      <c r="I93">
        <v>130.6</v>
      </c>
      <c r="J93">
        <v>37.299999999999997</v>
      </c>
      <c r="K93">
        <v>25.1</v>
      </c>
      <c r="L93">
        <v>239.85</v>
      </c>
      <c r="M93">
        <v>117.97</v>
      </c>
      <c r="N93">
        <v>59.86</v>
      </c>
      <c r="O93">
        <v>186.46</v>
      </c>
      <c r="P93">
        <v>96.5</v>
      </c>
      <c r="Q93">
        <v>205.46</v>
      </c>
    </row>
    <row r="94" spans="1:17" x14ac:dyDescent="0.2">
      <c r="A94" t="s">
        <v>266</v>
      </c>
      <c r="B94" t="s">
        <v>439</v>
      </c>
      <c r="D94">
        <v>315.05</v>
      </c>
      <c r="E94">
        <v>39.61</v>
      </c>
      <c r="F94">
        <v>105.35</v>
      </c>
      <c r="G94">
        <v>192.46</v>
      </c>
      <c r="H94">
        <v>122.91</v>
      </c>
      <c r="I94">
        <v>125.74</v>
      </c>
      <c r="J94">
        <v>34.270000000000003</v>
      </c>
      <c r="K94">
        <v>27.02</v>
      </c>
      <c r="L94">
        <v>185.55</v>
      </c>
      <c r="M94">
        <v>103.86</v>
      </c>
      <c r="N94">
        <v>54.03</v>
      </c>
      <c r="O94">
        <v>160.31</v>
      </c>
      <c r="P94">
        <v>86.62</v>
      </c>
      <c r="Q94">
        <v>174.79</v>
      </c>
    </row>
    <row r="95" spans="1:17" x14ac:dyDescent="0.2">
      <c r="A95" t="s">
        <v>268</v>
      </c>
      <c r="B95" t="s">
        <v>277</v>
      </c>
      <c r="D95">
        <v>83.86</v>
      </c>
      <c r="E95">
        <v>11.18</v>
      </c>
      <c r="F95">
        <v>33.119999999999997</v>
      </c>
      <c r="G95">
        <v>54.47</v>
      </c>
      <c r="H95">
        <v>37.24</v>
      </c>
      <c r="J95">
        <v>10.39</v>
      </c>
      <c r="K95">
        <v>6.43</v>
      </c>
      <c r="L95">
        <v>48.08</v>
      </c>
      <c r="M95">
        <v>29.11</v>
      </c>
      <c r="N95">
        <v>15.36</v>
      </c>
      <c r="O95">
        <v>40.97</v>
      </c>
      <c r="P95">
        <v>26.14</v>
      </c>
      <c r="Q95">
        <v>46.75</v>
      </c>
    </row>
    <row r="96" spans="1:17" x14ac:dyDescent="0.2">
      <c r="A96" t="s">
        <v>268</v>
      </c>
      <c r="B96" t="s">
        <v>440</v>
      </c>
      <c r="D96">
        <v>105.29</v>
      </c>
      <c r="F96">
        <v>31.25</v>
      </c>
      <c r="G96">
        <v>52.82</v>
      </c>
      <c r="H96">
        <v>31.34</v>
      </c>
      <c r="I96">
        <v>39.74</v>
      </c>
      <c r="J96">
        <v>9.52</v>
      </c>
      <c r="K96">
        <v>6.97</v>
      </c>
      <c r="L96">
        <v>61.75</v>
      </c>
      <c r="M96">
        <v>28.48</v>
      </c>
      <c r="N96">
        <v>16.48</v>
      </c>
      <c r="O96">
        <v>40.58</v>
      </c>
      <c r="P96">
        <v>22.45</v>
      </c>
      <c r="Q96">
        <v>50.63</v>
      </c>
    </row>
    <row r="97" spans="1:17" x14ac:dyDescent="0.2">
      <c r="A97" t="s">
        <v>270</v>
      </c>
      <c r="B97" t="s">
        <v>441</v>
      </c>
      <c r="D97">
        <v>15.56</v>
      </c>
      <c r="F97">
        <v>5.65</v>
      </c>
      <c r="G97">
        <v>12.44</v>
      </c>
      <c r="H97">
        <v>6.32</v>
      </c>
      <c r="I97" t="s">
        <v>503</v>
      </c>
      <c r="J97">
        <v>2.5299999999999998</v>
      </c>
      <c r="K97">
        <v>1.73</v>
      </c>
      <c r="L97">
        <v>13.18</v>
      </c>
      <c r="M97" t="s">
        <v>511</v>
      </c>
      <c r="N97">
        <v>3.32</v>
      </c>
      <c r="O97">
        <v>12.3</v>
      </c>
      <c r="P97">
        <v>5.76</v>
      </c>
      <c r="Q97">
        <v>11.56</v>
      </c>
    </row>
    <row r="98" spans="1:17" x14ac:dyDescent="0.2">
      <c r="A98" t="s">
        <v>270</v>
      </c>
      <c r="B98" t="s">
        <v>444</v>
      </c>
      <c r="F98">
        <v>5.65</v>
      </c>
      <c r="G98">
        <v>16.03</v>
      </c>
      <c r="I98">
        <v>9.27</v>
      </c>
      <c r="J98" t="s">
        <v>510</v>
      </c>
      <c r="K98" t="s">
        <v>507</v>
      </c>
      <c r="M98">
        <v>7.79</v>
      </c>
      <c r="P98">
        <v>6.75</v>
      </c>
    </row>
    <row r="99" spans="1:17" x14ac:dyDescent="0.2">
      <c r="A99" t="s">
        <v>272</v>
      </c>
      <c r="B99" t="s">
        <v>445</v>
      </c>
      <c r="O99">
        <v>2.41</v>
      </c>
    </row>
    <row r="100" spans="1:17" x14ac:dyDescent="0.2">
      <c r="A100" t="s">
        <v>272</v>
      </c>
      <c r="B100" t="s">
        <v>447</v>
      </c>
      <c r="G100">
        <v>2.41</v>
      </c>
      <c r="P100">
        <v>1.37</v>
      </c>
    </row>
    <row r="101" spans="1:17" x14ac:dyDescent="0.2">
      <c r="A101" t="s">
        <v>274</v>
      </c>
      <c r="B101" t="s">
        <v>279</v>
      </c>
      <c r="C101" t="s">
        <v>260</v>
      </c>
      <c r="D101">
        <v>8650.6</v>
      </c>
      <c r="E101">
        <v>2438.23</v>
      </c>
      <c r="F101">
        <v>4271.79</v>
      </c>
      <c r="G101">
        <v>8275.0300000000007</v>
      </c>
      <c r="H101">
        <v>8240.82</v>
      </c>
      <c r="I101">
        <v>6606.05</v>
      </c>
      <c r="J101">
        <v>1942.14</v>
      </c>
      <c r="K101">
        <v>1482.93</v>
      </c>
      <c r="L101">
        <v>9380.41</v>
      </c>
      <c r="M101">
        <v>6195.05</v>
      </c>
      <c r="N101">
        <v>3259.6</v>
      </c>
      <c r="O101">
        <v>2013.29</v>
      </c>
      <c r="P101">
        <v>6250.37</v>
      </c>
      <c r="Q101">
        <v>4296.7700000000004</v>
      </c>
    </row>
    <row r="102" spans="1:17" x14ac:dyDescent="0.2">
      <c r="A102" t="s">
        <v>274</v>
      </c>
      <c r="B102" t="s">
        <v>449</v>
      </c>
      <c r="C102" t="s">
        <v>260</v>
      </c>
      <c r="D102">
        <v>8677.77</v>
      </c>
      <c r="E102">
        <v>2458.11</v>
      </c>
      <c r="F102">
        <v>4802.6099999999997</v>
      </c>
      <c r="G102">
        <v>9212.7800000000007</v>
      </c>
      <c r="H102">
        <v>8065.99</v>
      </c>
      <c r="I102">
        <v>6129.76</v>
      </c>
      <c r="J102">
        <v>2078.83</v>
      </c>
      <c r="K102">
        <v>1537.26</v>
      </c>
      <c r="L102">
        <v>9575.82</v>
      </c>
      <c r="M102">
        <v>6616.92</v>
      </c>
      <c r="N102">
        <v>3437.44</v>
      </c>
      <c r="O102">
        <v>2282.35</v>
      </c>
      <c r="P102">
        <v>6677.67</v>
      </c>
      <c r="Q102">
        <v>3941.16</v>
      </c>
    </row>
    <row r="103" spans="1:17" x14ac:dyDescent="0.2">
      <c r="A103" t="s">
        <v>277</v>
      </c>
      <c r="B103" t="s">
        <v>451</v>
      </c>
      <c r="C103" t="s">
        <v>264</v>
      </c>
      <c r="D103">
        <v>1379.09</v>
      </c>
      <c r="E103">
        <v>177.71</v>
      </c>
      <c r="F103">
        <v>454.7</v>
      </c>
      <c r="G103">
        <v>795.11</v>
      </c>
      <c r="H103">
        <v>545.04999999999995</v>
      </c>
      <c r="I103">
        <v>545.91999999999996</v>
      </c>
      <c r="J103">
        <v>149.22999999999999</v>
      </c>
      <c r="K103">
        <v>102.55</v>
      </c>
      <c r="L103">
        <v>846.63</v>
      </c>
      <c r="M103">
        <v>408.3</v>
      </c>
      <c r="N103">
        <v>240.31</v>
      </c>
      <c r="O103">
        <v>663.81</v>
      </c>
      <c r="P103">
        <v>382.97</v>
      </c>
      <c r="Q103">
        <v>716.13</v>
      </c>
    </row>
    <row r="104" spans="1:17" x14ac:dyDescent="0.2">
      <c r="A104" t="s">
        <v>277</v>
      </c>
      <c r="B104" t="s">
        <v>452</v>
      </c>
      <c r="C104" t="s">
        <v>264</v>
      </c>
      <c r="D104">
        <v>1357.76</v>
      </c>
      <c r="E104">
        <v>176.87</v>
      </c>
      <c r="F104">
        <v>453.8</v>
      </c>
      <c r="G104">
        <v>844.69</v>
      </c>
      <c r="H104">
        <v>510.31</v>
      </c>
      <c r="I104">
        <v>534.66</v>
      </c>
      <c r="J104">
        <v>150.84</v>
      </c>
      <c r="K104">
        <v>103.7</v>
      </c>
      <c r="L104">
        <v>909.65</v>
      </c>
      <c r="M104">
        <v>473.14</v>
      </c>
      <c r="N104">
        <v>247.07</v>
      </c>
      <c r="O104">
        <v>659.05</v>
      </c>
      <c r="P104">
        <v>422.59</v>
      </c>
      <c r="Q104">
        <v>755.8</v>
      </c>
    </row>
    <row r="105" spans="1:17" x14ac:dyDescent="0.2">
      <c r="A105" t="s">
        <v>279</v>
      </c>
      <c r="B105" t="s">
        <v>453</v>
      </c>
      <c r="C105" t="s">
        <v>268</v>
      </c>
      <c r="D105">
        <v>137.88</v>
      </c>
      <c r="E105">
        <v>13</v>
      </c>
      <c r="F105">
        <v>31.25</v>
      </c>
      <c r="G105">
        <v>65.709999999999994</v>
      </c>
      <c r="H105">
        <v>47.87</v>
      </c>
      <c r="I105">
        <v>36.840000000000003</v>
      </c>
      <c r="J105">
        <v>11.8</v>
      </c>
      <c r="K105">
        <v>8.0299999999999994</v>
      </c>
      <c r="L105">
        <v>57.24</v>
      </c>
      <c r="M105">
        <v>37.15</v>
      </c>
      <c r="N105">
        <v>16.48</v>
      </c>
      <c r="O105">
        <v>42.94</v>
      </c>
      <c r="P105">
        <v>25.91</v>
      </c>
      <c r="Q105">
        <v>54.36</v>
      </c>
    </row>
    <row r="106" spans="1:17" x14ac:dyDescent="0.2">
      <c r="A106" t="s">
        <v>279</v>
      </c>
      <c r="B106" t="s">
        <v>454</v>
      </c>
      <c r="C106" t="s">
        <v>268</v>
      </c>
      <c r="D106">
        <v>116.51</v>
      </c>
      <c r="E106">
        <v>13.88</v>
      </c>
      <c r="F106">
        <v>32.19</v>
      </c>
      <c r="G106">
        <v>50.06</v>
      </c>
      <c r="H106">
        <v>42.71</v>
      </c>
      <c r="I106">
        <v>36.840000000000003</v>
      </c>
      <c r="J106">
        <v>10.29</v>
      </c>
      <c r="K106">
        <v>8.16</v>
      </c>
      <c r="L106">
        <v>54.97</v>
      </c>
      <c r="M106">
        <v>35.93</v>
      </c>
      <c r="N106">
        <v>13.64</v>
      </c>
      <c r="O106">
        <v>49.6</v>
      </c>
      <c r="P106">
        <v>27.52</v>
      </c>
      <c r="Q106">
        <v>54.36</v>
      </c>
    </row>
    <row r="107" spans="1:17" x14ac:dyDescent="0.2">
      <c r="A107" t="s">
        <v>282</v>
      </c>
      <c r="B107" t="s">
        <v>455</v>
      </c>
      <c r="C107" t="s">
        <v>176</v>
      </c>
      <c r="D107" t="s">
        <v>284</v>
      </c>
      <c r="E107" t="s">
        <v>284</v>
      </c>
      <c r="F107" t="s">
        <v>284</v>
      </c>
      <c r="G107" t="s">
        <v>284</v>
      </c>
      <c r="H107" t="s">
        <v>284</v>
      </c>
      <c r="I107">
        <v>60.66</v>
      </c>
      <c r="J107">
        <v>4.74</v>
      </c>
      <c r="K107" t="s">
        <v>509</v>
      </c>
      <c r="L107">
        <v>449.02</v>
      </c>
      <c r="M107" t="s">
        <v>284</v>
      </c>
      <c r="N107" t="s">
        <v>284</v>
      </c>
      <c r="O107" t="s">
        <v>284</v>
      </c>
      <c r="P107" t="s">
        <v>284</v>
      </c>
      <c r="Q107" t="s">
        <v>284</v>
      </c>
    </row>
    <row r="108" spans="1:17" x14ac:dyDescent="0.2">
      <c r="A108" t="s">
        <v>282</v>
      </c>
      <c r="B108" t="s">
        <v>456</v>
      </c>
      <c r="C108" t="s">
        <v>176</v>
      </c>
      <c r="D108" t="s">
        <v>284</v>
      </c>
      <c r="E108" t="s">
        <v>284</v>
      </c>
      <c r="F108" t="s">
        <v>284</v>
      </c>
      <c r="G108" t="s">
        <v>284</v>
      </c>
      <c r="H108" t="s">
        <v>284</v>
      </c>
      <c r="I108">
        <v>55.89</v>
      </c>
      <c r="J108">
        <v>2.8</v>
      </c>
      <c r="K108" t="s">
        <v>284</v>
      </c>
      <c r="L108">
        <v>491.12</v>
      </c>
      <c r="M108" t="s">
        <v>284</v>
      </c>
      <c r="N108" t="s">
        <v>284</v>
      </c>
      <c r="O108" t="s">
        <v>284</v>
      </c>
      <c r="P108" t="s">
        <v>284</v>
      </c>
      <c r="Q108" t="s">
        <v>284</v>
      </c>
    </row>
    <row r="109" spans="1:17" x14ac:dyDescent="0.2">
      <c r="A109" t="s">
        <v>285</v>
      </c>
      <c r="B109" t="s">
        <v>457</v>
      </c>
      <c r="C109" t="s">
        <v>177</v>
      </c>
      <c r="D109" t="s">
        <v>284</v>
      </c>
      <c r="E109" t="s">
        <v>284</v>
      </c>
      <c r="F109" t="s">
        <v>284</v>
      </c>
      <c r="G109" t="s">
        <v>284</v>
      </c>
      <c r="H109" t="s">
        <v>284</v>
      </c>
      <c r="I109">
        <v>68.709999999999994</v>
      </c>
      <c r="J109">
        <v>4.28</v>
      </c>
      <c r="K109" t="s">
        <v>284</v>
      </c>
      <c r="L109">
        <v>525.78</v>
      </c>
      <c r="M109" t="s">
        <v>284</v>
      </c>
      <c r="N109" t="s">
        <v>284</v>
      </c>
      <c r="O109" t="s">
        <v>284</v>
      </c>
      <c r="P109" t="s">
        <v>284</v>
      </c>
      <c r="Q109" t="s">
        <v>284</v>
      </c>
    </row>
    <row r="110" spans="1:17" x14ac:dyDescent="0.2">
      <c r="A110" t="s">
        <v>285</v>
      </c>
      <c r="B110" t="s">
        <v>458</v>
      </c>
      <c r="C110" t="s">
        <v>177</v>
      </c>
      <c r="D110" t="s">
        <v>284</v>
      </c>
      <c r="E110" t="s">
        <v>284</v>
      </c>
      <c r="F110" t="s">
        <v>284</v>
      </c>
      <c r="G110" t="s">
        <v>284</v>
      </c>
      <c r="H110" t="s">
        <v>284</v>
      </c>
      <c r="I110">
        <v>55.2</v>
      </c>
      <c r="J110" t="s">
        <v>508</v>
      </c>
      <c r="K110" t="s">
        <v>284</v>
      </c>
      <c r="L110">
        <v>486.44</v>
      </c>
      <c r="M110" t="s">
        <v>284</v>
      </c>
      <c r="N110" t="s">
        <v>284</v>
      </c>
      <c r="O110" t="s">
        <v>284</v>
      </c>
      <c r="P110" t="s">
        <v>284</v>
      </c>
      <c r="Q110" t="s">
        <v>284</v>
      </c>
    </row>
    <row r="111" spans="1:17" x14ac:dyDescent="0.2">
      <c r="A111" t="s">
        <v>288</v>
      </c>
      <c r="B111" t="s">
        <v>459</v>
      </c>
      <c r="C111" t="s">
        <v>178</v>
      </c>
      <c r="D111" t="s">
        <v>284</v>
      </c>
      <c r="E111" t="s">
        <v>284</v>
      </c>
      <c r="F111" t="s">
        <v>284</v>
      </c>
      <c r="G111" t="s">
        <v>284</v>
      </c>
      <c r="H111" t="s">
        <v>284</v>
      </c>
      <c r="I111">
        <v>16.93</v>
      </c>
      <c r="J111">
        <v>5.52</v>
      </c>
      <c r="K111" t="s">
        <v>284</v>
      </c>
      <c r="L111">
        <v>711.2</v>
      </c>
      <c r="M111" t="s">
        <v>284</v>
      </c>
      <c r="N111" t="s">
        <v>284</v>
      </c>
      <c r="O111" t="s">
        <v>284</v>
      </c>
      <c r="P111" t="s">
        <v>284</v>
      </c>
      <c r="Q111" t="s">
        <v>284</v>
      </c>
    </row>
    <row r="112" spans="1:17" x14ac:dyDescent="0.2">
      <c r="A112" t="s">
        <v>288</v>
      </c>
      <c r="B112" t="s">
        <v>460</v>
      </c>
      <c r="C112" t="s">
        <v>178</v>
      </c>
      <c r="D112" t="s">
        <v>284</v>
      </c>
      <c r="E112" t="s">
        <v>284</v>
      </c>
      <c r="F112" t="s">
        <v>284</v>
      </c>
      <c r="G112" t="s">
        <v>284</v>
      </c>
      <c r="H112" t="s">
        <v>284</v>
      </c>
      <c r="I112">
        <v>16.93</v>
      </c>
      <c r="J112">
        <v>3.06</v>
      </c>
      <c r="K112" t="s">
        <v>284</v>
      </c>
      <c r="L112">
        <v>679.69</v>
      </c>
      <c r="M112" t="s">
        <v>284</v>
      </c>
      <c r="N112" t="s">
        <v>284</v>
      </c>
      <c r="O112" t="s">
        <v>284</v>
      </c>
      <c r="P112" t="s">
        <v>284</v>
      </c>
      <c r="Q112" t="s">
        <v>284</v>
      </c>
    </row>
    <row r="113" spans="1:17" x14ac:dyDescent="0.2">
      <c r="A113" t="s">
        <v>291</v>
      </c>
      <c r="B113" t="s">
        <v>461</v>
      </c>
      <c r="C113" t="s">
        <v>179</v>
      </c>
      <c r="D113" t="s">
        <v>284</v>
      </c>
      <c r="E113" t="s">
        <v>284</v>
      </c>
      <c r="F113" t="s">
        <v>284</v>
      </c>
      <c r="G113" t="s">
        <v>284</v>
      </c>
      <c r="H113" t="s">
        <v>284</v>
      </c>
      <c r="I113">
        <v>171.01</v>
      </c>
      <c r="J113">
        <v>50.83</v>
      </c>
      <c r="K113" t="s">
        <v>507</v>
      </c>
      <c r="L113">
        <v>646.41999999999996</v>
      </c>
      <c r="M113" t="s">
        <v>284</v>
      </c>
      <c r="N113" t="s">
        <v>284</v>
      </c>
      <c r="O113" t="s">
        <v>284</v>
      </c>
      <c r="P113" t="s">
        <v>284</v>
      </c>
      <c r="Q113" t="s">
        <v>284</v>
      </c>
    </row>
    <row r="114" spans="1:17" x14ac:dyDescent="0.2">
      <c r="A114" t="s">
        <v>291</v>
      </c>
      <c r="B114" t="s">
        <v>462</v>
      </c>
      <c r="C114" t="s">
        <v>179</v>
      </c>
      <c r="D114" t="s">
        <v>284</v>
      </c>
      <c r="E114" t="s">
        <v>284</v>
      </c>
      <c r="F114" t="s">
        <v>284</v>
      </c>
      <c r="G114" t="s">
        <v>284</v>
      </c>
      <c r="H114" t="s">
        <v>284</v>
      </c>
      <c r="I114">
        <v>175.67</v>
      </c>
      <c r="J114">
        <v>50.51</v>
      </c>
      <c r="K114">
        <v>2.91</v>
      </c>
      <c r="L114">
        <v>753.44</v>
      </c>
      <c r="M114" t="s">
        <v>284</v>
      </c>
      <c r="N114" t="s">
        <v>284</v>
      </c>
      <c r="O114" t="s">
        <v>284</v>
      </c>
      <c r="P114" t="s">
        <v>284</v>
      </c>
      <c r="Q114" t="s">
        <v>284</v>
      </c>
    </row>
    <row r="115" spans="1:17" x14ac:dyDescent="0.2">
      <c r="A115" t="s">
        <v>294</v>
      </c>
      <c r="B115" t="s">
        <v>463</v>
      </c>
      <c r="C115" t="s">
        <v>180</v>
      </c>
      <c r="D115" t="s">
        <v>284</v>
      </c>
      <c r="E115" t="s">
        <v>284</v>
      </c>
      <c r="F115" t="s">
        <v>284</v>
      </c>
      <c r="G115" t="s">
        <v>284</v>
      </c>
      <c r="H115" t="s">
        <v>284</v>
      </c>
      <c r="I115">
        <v>15.28</v>
      </c>
      <c r="J115">
        <v>2.2599999999999998</v>
      </c>
      <c r="K115" t="s">
        <v>284</v>
      </c>
      <c r="L115">
        <v>441.54</v>
      </c>
      <c r="M115" t="s">
        <v>284</v>
      </c>
      <c r="N115" t="s">
        <v>284</v>
      </c>
      <c r="O115" t="s">
        <v>284</v>
      </c>
      <c r="P115" t="s">
        <v>284</v>
      </c>
      <c r="Q115" t="s">
        <v>284</v>
      </c>
    </row>
    <row r="116" spans="1:17" x14ac:dyDescent="0.2">
      <c r="A116" t="s">
        <v>294</v>
      </c>
      <c r="B116" t="s">
        <v>464</v>
      </c>
      <c r="C116" t="s">
        <v>180</v>
      </c>
      <c r="D116" t="s">
        <v>284</v>
      </c>
      <c r="E116" t="s">
        <v>284</v>
      </c>
      <c r="F116" t="s">
        <v>284</v>
      </c>
      <c r="G116" t="s">
        <v>284</v>
      </c>
      <c r="H116" t="s">
        <v>284</v>
      </c>
      <c r="I116">
        <v>10.16</v>
      </c>
      <c r="J116" t="s">
        <v>506</v>
      </c>
      <c r="K116" t="s">
        <v>284</v>
      </c>
      <c r="L116">
        <v>471.47</v>
      </c>
      <c r="M116" t="s">
        <v>284</v>
      </c>
      <c r="N116" t="s">
        <v>284</v>
      </c>
      <c r="O116" t="s">
        <v>284</v>
      </c>
      <c r="P116" t="s">
        <v>284</v>
      </c>
      <c r="Q116" t="s">
        <v>284</v>
      </c>
    </row>
    <row r="117" spans="1:17" x14ac:dyDescent="0.2">
      <c r="A117" t="s">
        <v>298</v>
      </c>
      <c r="B117" t="s">
        <v>465</v>
      </c>
      <c r="C117" t="s">
        <v>181</v>
      </c>
      <c r="D117" t="s">
        <v>284</v>
      </c>
      <c r="E117" t="s">
        <v>284</v>
      </c>
      <c r="F117" t="s">
        <v>284</v>
      </c>
      <c r="G117" t="s">
        <v>284</v>
      </c>
      <c r="H117" t="s">
        <v>284</v>
      </c>
      <c r="I117">
        <v>478.11</v>
      </c>
      <c r="J117">
        <v>30.4</v>
      </c>
      <c r="K117">
        <v>20.99</v>
      </c>
      <c r="L117">
        <v>736.12</v>
      </c>
      <c r="M117" t="s">
        <v>284</v>
      </c>
      <c r="N117" t="s">
        <v>284</v>
      </c>
      <c r="O117" t="s">
        <v>284</v>
      </c>
      <c r="P117" t="s">
        <v>284</v>
      </c>
      <c r="Q117" t="s">
        <v>284</v>
      </c>
    </row>
    <row r="118" spans="1:17" x14ac:dyDescent="0.2">
      <c r="A118" t="s">
        <v>298</v>
      </c>
      <c r="B118" t="s">
        <v>466</v>
      </c>
      <c r="C118" t="s">
        <v>181</v>
      </c>
      <c r="D118" t="s">
        <v>284</v>
      </c>
      <c r="E118" t="s">
        <v>284</v>
      </c>
      <c r="F118" t="s">
        <v>284</v>
      </c>
      <c r="G118" t="s">
        <v>284</v>
      </c>
      <c r="H118" t="s">
        <v>284</v>
      </c>
      <c r="I118">
        <v>419.43</v>
      </c>
      <c r="J118">
        <v>23.06</v>
      </c>
      <c r="K118">
        <v>17.809999999999999</v>
      </c>
      <c r="L118">
        <v>629.37</v>
      </c>
      <c r="M118" t="s">
        <v>284</v>
      </c>
      <c r="N118" t="s">
        <v>284</v>
      </c>
      <c r="O118" t="s">
        <v>284</v>
      </c>
      <c r="P118" t="s">
        <v>284</v>
      </c>
      <c r="Q118" t="s">
        <v>284</v>
      </c>
    </row>
    <row r="119" spans="1:17" x14ac:dyDescent="0.2">
      <c r="A119" t="s">
        <v>300</v>
      </c>
      <c r="B119" t="s">
        <v>467</v>
      </c>
      <c r="C119" t="s">
        <v>182</v>
      </c>
      <c r="D119" t="s">
        <v>284</v>
      </c>
      <c r="E119" t="s">
        <v>284</v>
      </c>
      <c r="F119" t="s">
        <v>284</v>
      </c>
      <c r="G119" t="s">
        <v>284</v>
      </c>
      <c r="H119" t="s">
        <v>284</v>
      </c>
      <c r="I119">
        <v>294.42</v>
      </c>
      <c r="J119">
        <v>14.1</v>
      </c>
      <c r="K119">
        <v>15.68</v>
      </c>
      <c r="L119">
        <v>523.9</v>
      </c>
      <c r="M119" t="s">
        <v>284</v>
      </c>
      <c r="N119" t="s">
        <v>284</v>
      </c>
      <c r="O119" t="s">
        <v>284</v>
      </c>
      <c r="P119" t="s">
        <v>284</v>
      </c>
      <c r="Q119" t="s">
        <v>284</v>
      </c>
    </row>
    <row r="120" spans="1:17" x14ac:dyDescent="0.2">
      <c r="A120" t="s">
        <v>300</v>
      </c>
      <c r="B120" t="s">
        <v>468</v>
      </c>
      <c r="C120" t="s">
        <v>182</v>
      </c>
      <c r="D120" t="s">
        <v>284</v>
      </c>
      <c r="E120" t="s">
        <v>284</v>
      </c>
      <c r="F120" t="s">
        <v>284</v>
      </c>
      <c r="G120" t="s">
        <v>284</v>
      </c>
      <c r="H120" t="s">
        <v>284</v>
      </c>
      <c r="I120">
        <v>242.17</v>
      </c>
      <c r="J120">
        <v>10.86</v>
      </c>
      <c r="K120">
        <v>13.33</v>
      </c>
      <c r="L120">
        <v>438.73</v>
      </c>
      <c r="M120" t="s">
        <v>284</v>
      </c>
      <c r="N120" t="s">
        <v>284</v>
      </c>
      <c r="O120" t="s">
        <v>284</v>
      </c>
      <c r="P120" t="s">
        <v>284</v>
      </c>
      <c r="Q120" t="s">
        <v>284</v>
      </c>
    </row>
    <row r="121" spans="1:17" x14ac:dyDescent="0.2">
      <c r="A121" t="s">
        <v>302</v>
      </c>
      <c r="B121" t="s">
        <v>469</v>
      </c>
      <c r="C121" t="s">
        <v>183</v>
      </c>
      <c r="D121" t="s">
        <v>284</v>
      </c>
      <c r="E121" t="s">
        <v>284</v>
      </c>
      <c r="F121" t="s">
        <v>284</v>
      </c>
      <c r="G121" t="s">
        <v>284</v>
      </c>
      <c r="H121" t="s">
        <v>284</v>
      </c>
      <c r="I121">
        <v>103.5</v>
      </c>
      <c r="J121">
        <v>18.52</v>
      </c>
      <c r="K121" t="s">
        <v>284</v>
      </c>
      <c r="L121">
        <v>587.80999999999995</v>
      </c>
      <c r="M121" t="s">
        <v>284</v>
      </c>
      <c r="N121" t="s">
        <v>284</v>
      </c>
      <c r="O121" t="s">
        <v>284</v>
      </c>
      <c r="P121" t="s">
        <v>284</v>
      </c>
      <c r="Q121" t="s">
        <v>284</v>
      </c>
    </row>
    <row r="122" spans="1:17" x14ac:dyDescent="0.2">
      <c r="A122" t="s">
        <v>302</v>
      </c>
      <c r="B122" t="s">
        <v>470</v>
      </c>
      <c r="C122" t="s">
        <v>183</v>
      </c>
      <c r="D122" t="s">
        <v>284</v>
      </c>
      <c r="E122" t="s">
        <v>284</v>
      </c>
      <c r="F122" t="s">
        <v>284</v>
      </c>
      <c r="G122" t="s">
        <v>284</v>
      </c>
      <c r="H122" t="s">
        <v>284</v>
      </c>
      <c r="I122">
        <v>75.319999999999993</v>
      </c>
      <c r="J122">
        <v>17.12</v>
      </c>
      <c r="K122" t="s">
        <v>284</v>
      </c>
      <c r="L122">
        <v>557.70000000000005</v>
      </c>
      <c r="M122" t="s">
        <v>284</v>
      </c>
      <c r="N122" t="s">
        <v>284</v>
      </c>
      <c r="O122" t="s">
        <v>284</v>
      </c>
      <c r="P122" t="s">
        <v>284</v>
      </c>
      <c r="Q122" t="s">
        <v>284</v>
      </c>
    </row>
    <row r="123" spans="1:17" x14ac:dyDescent="0.2">
      <c r="A123" t="s">
        <v>305</v>
      </c>
      <c r="B123" t="s">
        <v>306</v>
      </c>
      <c r="C123" t="s">
        <v>184</v>
      </c>
      <c r="D123" t="s">
        <v>284</v>
      </c>
      <c r="E123" t="s">
        <v>284</v>
      </c>
      <c r="F123" t="s">
        <v>284</v>
      </c>
      <c r="G123" t="s">
        <v>284</v>
      </c>
      <c r="H123" t="s">
        <v>284</v>
      </c>
      <c r="I123">
        <v>18.55</v>
      </c>
      <c r="J123">
        <v>9.91</v>
      </c>
      <c r="K123" t="s">
        <v>284</v>
      </c>
      <c r="L123">
        <v>310.22000000000003</v>
      </c>
      <c r="M123" t="s">
        <v>284</v>
      </c>
      <c r="N123" t="s">
        <v>284</v>
      </c>
      <c r="O123" t="s">
        <v>284</v>
      </c>
      <c r="P123" t="s">
        <v>284</v>
      </c>
      <c r="Q123" t="s">
        <v>284</v>
      </c>
    </row>
    <row r="124" spans="1:17" x14ac:dyDescent="0.2">
      <c r="A124" t="s">
        <v>307</v>
      </c>
      <c r="B124" t="s">
        <v>308</v>
      </c>
      <c r="C124" t="s">
        <v>185</v>
      </c>
      <c r="D124" t="s">
        <v>284</v>
      </c>
      <c r="E124" t="s">
        <v>284</v>
      </c>
      <c r="F124" t="s">
        <v>284</v>
      </c>
      <c r="G124" t="s">
        <v>284</v>
      </c>
      <c r="H124" t="s">
        <v>284</v>
      </c>
      <c r="I124">
        <v>94.03</v>
      </c>
      <c r="J124">
        <v>6.49</v>
      </c>
      <c r="K124" t="s">
        <v>284</v>
      </c>
      <c r="L124">
        <v>497.67</v>
      </c>
      <c r="M124" t="s">
        <v>284</v>
      </c>
      <c r="N124" t="s">
        <v>284</v>
      </c>
      <c r="O124" t="s">
        <v>284</v>
      </c>
      <c r="P124" t="s">
        <v>284</v>
      </c>
      <c r="Q124" t="s">
        <v>284</v>
      </c>
    </row>
    <row r="125" spans="1:17" x14ac:dyDescent="0.2">
      <c r="A125" t="s">
        <v>309</v>
      </c>
      <c r="B125" t="s">
        <v>310</v>
      </c>
      <c r="C125" t="s">
        <v>186</v>
      </c>
      <c r="D125" t="s">
        <v>284</v>
      </c>
      <c r="E125" t="s">
        <v>284</v>
      </c>
      <c r="F125" t="s">
        <v>284</v>
      </c>
      <c r="G125" t="s">
        <v>284</v>
      </c>
      <c r="H125">
        <v>6.32</v>
      </c>
      <c r="I125">
        <v>13.61</v>
      </c>
      <c r="J125">
        <v>14.37</v>
      </c>
      <c r="K125" t="s">
        <v>284</v>
      </c>
      <c r="L125">
        <v>701.63</v>
      </c>
      <c r="M125" t="s">
        <v>284</v>
      </c>
      <c r="N125" t="s">
        <v>284</v>
      </c>
      <c r="O125" t="s">
        <v>284</v>
      </c>
      <c r="P125" t="s">
        <v>284</v>
      </c>
      <c r="Q125" t="s">
        <v>284</v>
      </c>
    </row>
    <row r="126" spans="1:17" x14ac:dyDescent="0.2">
      <c r="A126" t="s">
        <v>312</v>
      </c>
      <c r="B126" t="s">
        <v>313</v>
      </c>
      <c r="C126" t="s">
        <v>187</v>
      </c>
      <c r="D126" t="s">
        <v>284</v>
      </c>
      <c r="E126" t="s">
        <v>284</v>
      </c>
      <c r="F126" t="s">
        <v>284</v>
      </c>
      <c r="G126" t="s">
        <v>284</v>
      </c>
      <c r="H126" t="s">
        <v>284</v>
      </c>
      <c r="I126">
        <v>24.86</v>
      </c>
      <c r="J126">
        <v>8.5399999999999991</v>
      </c>
      <c r="K126" t="s">
        <v>284</v>
      </c>
      <c r="L126">
        <v>715.03</v>
      </c>
      <c r="M126" t="s">
        <v>284</v>
      </c>
      <c r="N126" t="s">
        <v>284</v>
      </c>
      <c r="O126" t="s">
        <v>284</v>
      </c>
      <c r="P126" t="s">
        <v>284</v>
      </c>
      <c r="Q126" t="s">
        <v>284</v>
      </c>
    </row>
    <row r="127" spans="1:17" x14ac:dyDescent="0.2">
      <c r="A127" t="s">
        <v>315</v>
      </c>
      <c r="B127" t="s">
        <v>316</v>
      </c>
      <c r="C127" t="s">
        <v>188</v>
      </c>
      <c r="D127" t="s">
        <v>284</v>
      </c>
      <c r="E127" t="s">
        <v>284</v>
      </c>
      <c r="F127" t="s">
        <v>284</v>
      </c>
      <c r="G127" t="s">
        <v>284</v>
      </c>
      <c r="H127" t="s">
        <v>284</v>
      </c>
      <c r="I127" t="s">
        <v>284</v>
      </c>
      <c r="J127">
        <v>5.41</v>
      </c>
      <c r="K127">
        <v>3.35</v>
      </c>
      <c r="L127">
        <v>584.04</v>
      </c>
      <c r="M127" t="s">
        <v>284</v>
      </c>
      <c r="N127" t="s">
        <v>284</v>
      </c>
      <c r="O127" t="s">
        <v>284</v>
      </c>
      <c r="P127" t="s">
        <v>284</v>
      </c>
      <c r="Q127" t="s">
        <v>284</v>
      </c>
    </row>
    <row r="128" spans="1:17" x14ac:dyDescent="0.2">
      <c r="A128" t="s">
        <v>317</v>
      </c>
      <c r="B128" t="s">
        <v>318</v>
      </c>
      <c r="C128" t="s">
        <v>189</v>
      </c>
      <c r="D128" t="s">
        <v>284</v>
      </c>
      <c r="E128" t="s">
        <v>284</v>
      </c>
      <c r="F128" t="s">
        <v>284</v>
      </c>
      <c r="G128" t="s">
        <v>284</v>
      </c>
      <c r="H128" t="s">
        <v>284</v>
      </c>
      <c r="I128">
        <v>21.74</v>
      </c>
      <c r="J128">
        <v>17.559999999999999</v>
      </c>
      <c r="K128" t="s">
        <v>284</v>
      </c>
      <c r="L128">
        <v>881.99</v>
      </c>
      <c r="M128" t="s">
        <v>284</v>
      </c>
      <c r="N128" t="s">
        <v>284</v>
      </c>
      <c r="O128" t="s">
        <v>284</v>
      </c>
      <c r="P128" t="s">
        <v>284</v>
      </c>
      <c r="Q128" t="s">
        <v>284</v>
      </c>
    </row>
    <row r="129" spans="1:17" x14ac:dyDescent="0.2">
      <c r="A129" t="s">
        <v>319</v>
      </c>
      <c r="B129" t="s">
        <v>320</v>
      </c>
      <c r="C129" t="s">
        <v>190</v>
      </c>
      <c r="D129" t="s">
        <v>284</v>
      </c>
      <c r="E129" t="s">
        <v>284</v>
      </c>
      <c r="F129" t="s">
        <v>284</v>
      </c>
      <c r="G129" t="s">
        <v>284</v>
      </c>
      <c r="H129" t="s">
        <v>284</v>
      </c>
      <c r="I129" t="s">
        <v>284</v>
      </c>
      <c r="J129">
        <v>5.96</v>
      </c>
      <c r="K129" t="s">
        <v>284</v>
      </c>
      <c r="L129">
        <v>346</v>
      </c>
      <c r="M129" t="s">
        <v>284</v>
      </c>
      <c r="N129" t="s">
        <v>284</v>
      </c>
      <c r="O129" t="s">
        <v>284</v>
      </c>
      <c r="P129" t="s">
        <v>284</v>
      </c>
      <c r="Q129" t="s">
        <v>284</v>
      </c>
    </row>
    <row r="130" spans="1:17" x14ac:dyDescent="0.2">
      <c r="A130" t="s">
        <v>321</v>
      </c>
      <c r="B130" t="s">
        <v>322</v>
      </c>
      <c r="C130" t="s">
        <v>191</v>
      </c>
      <c r="D130" t="s">
        <v>284</v>
      </c>
      <c r="E130" t="s">
        <v>284</v>
      </c>
      <c r="F130" t="s">
        <v>284</v>
      </c>
      <c r="G130" t="s">
        <v>284</v>
      </c>
      <c r="H130" t="s">
        <v>284</v>
      </c>
      <c r="I130">
        <v>99.1</v>
      </c>
      <c r="J130">
        <v>53.61</v>
      </c>
      <c r="K130">
        <v>9.86</v>
      </c>
      <c r="L130">
        <v>1452.91</v>
      </c>
      <c r="M130" t="s">
        <v>284</v>
      </c>
      <c r="N130" t="s">
        <v>284</v>
      </c>
      <c r="O130" t="s">
        <v>284</v>
      </c>
      <c r="P130" t="s">
        <v>284</v>
      </c>
      <c r="Q130" t="s">
        <v>284</v>
      </c>
    </row>
    <row r="131" spans="1:17" x14ac:dyDescent="0.2">
      <c r="A131" t="s">
        <v>323</v>
      </c>
      <c r="B131" t="s">
        <v>324</v>
      </c>
      <c r="C131" t="s">
        <v>192</v>
      </c>
      <c r="D131" t="s">
        <v>284</v>
      </c>
      <c r="E131" t="s">
        <v>284</v>
      </c>
      <c r="F131" t="s">
        <v>284</v>
      </c>
      <c r="G131" t="s">
        <v>284</v>
      </c>
      <c r="H131" t="s">
        <v>284</v>
      </c>
      <c r="I131">
        <v>16.11</v>
      </c>
      <c r="J131">
        <v>20.76</v>
      </c>
      <c r="K131" t="s">
        <v>284</v>
      </c>
      <c r="L131">
        <v>774.66</v>
      </c>
      <c r="M131" t="s">
        <v>284</v>
      </c>
      <c r="N131" t="s">
        <v>284</v>
      </c>
      <c r="O131" t="s">
        <v>284</v>
      </c>
      <c r="P131" t="s">
        <v>284</v>
      </c>
      <c r="Q131" t="s">
        <v>284</v>
      </c>
    </row>
    <row r="132" spans="1:17" x14ac:dyDescent="0.2">
      <c r="A132" t="s">
        <v>325</v>
      </c>
      <c r="B132" t="s">
        <v>326</v>
      </c>
      <c r="C132" t="s">
        <v>193</v>
      </c>
      <c r="D132" t="s">
        <v>284</v>
      </c>
      <c r="E132" t="s">
        <v>284</v>
      </c>
      <c r="F132" t="s">
        <v>284</v>
      </c>
      <c r="G132" t="s">
        <v>284</v>
      </c>
      <c r="H132" t="s">
        <v>284</v>
      </c>
      <c r="I132">
        <v>16.11</v>
      </c>
      <c r="J132">
        <v>6.49</v>
      </c>
      <c r="K132" t="s">
        <v>284</v>
      </c>
      <c r="L132">
        <v>488.31</v>
      </c>
      <c r="M132" t="s">
        <v>284</v>
      </c>
      <c r="N132" t="s">
        <v>284</v>
      </c>
      <c r="O132" t="s">
        <v>284</v>
      </c>
      <c r="P132" t="s">
        <v>284</v>
      </c>
      <c r="Q132" t="s">
        <v>284</v>
      </c>
    </row>
    <row r="133" spans="1:17" x14ac:dyDescent="0.2">
      <c r="A133" t="s">
        <v>327</v>
      </c>
      <c r="B133" t="s">
        <v>328</v>
      </c>
      <c r="C133" t="s">
        <v>194</v>
      </c>
      <c r="D133" t="s">
        <v>284</v>
      </c>
      <c r="E133" t="s">
        <v>284</v>
      </c>
      <c r="F133" t="s">
        <v>284</v>
      </c>
      <c r="G133" t="s">
        <v>284</v>
      </c>
      <c r="H133" t="s">
        <v>284</v>
      </c>
      <c r="I133">
        <v>14.45</v>
      </c>
      <c r="J133" t="s">
        <v>284</v>
      </c>
      <c r="K133" t="s">
        <v>284</v>
      </c>
      <c r="L133">
        <v>276.13</v>
      </c>
      <c r="M133" t="s">
        <v>284</v>
      </c>
      <c r="N133" t="s">
        <v>284</v>
      </c>
      <c r="O133" t="s">
        <v>284</v>
      </c>
      <c r="P133" t="s">
        <v>284</v>
      </c>
      <c r="Q133" t="s">
        <v>284</v>
      </c>
    </row>
    <row r="134" spans="1:17" x14ac:dyDescent="0.2">
      <c r="A134" t="s">
        <v>329</v>
      </c>
      <c r="B134" t="s">
        <v>330</v>
      </c>
      <c r="C134" t="s">
        <v>195</v>
      </c>
      <c r="D134" t="s">
        <v>284</v>
      </c>
      <c r="E134" t="s">
        <v>284</v>
      </c>
      <c r="F134" t="s">
        <v>284</v>
      </c>
      <c r="G134" t="s">
        <v>284</v>
      </c>
      <c r="H134" t="s">
        <v>284</v>
      </c>
      <c r="I134">
        <v>879.06</v>
      </c>
      <c r="J134">
        <v>227.43</v>
      </c>
      <c r="K134">
        <v>34.909999999999997</v>
      </c>
      <c r="L134">
        <v>1076</v>
      </c>
      <c r="M134" t="s">
        <v>284</v>
      </c>
      <c r="N134" t="s">
        <v>284</v>
      </c>
      <c r="O134" t="s">
        <v>284</v>
      </c>
      <c r="P134" t="s">
        <v>284</v>
      </c>
      <c r="Q134" t="s">
        <v>284</v>
      </c>
    </row>
    <row r="135" spans="1:17" x14ac:dyDescent="0.2">
      <c r="A135" t="s">
        <v>331</v>
      </c>
      <c r="B135" t="s">
        <v>332</v>
      </c>
      <c r="C135" t="s">
        <v>196</v>
      </c>
      <c r="D135" t="s">
        <v>284</v>
      </c>
      <c r="E135" t="s">
        <v>284</v>
      </c>
      <c r="F135" t="s">
        <v>284</v>
      </c>
      <c r="G135" t="s">
        <v>284</v>
      </c>
      <c r="H135" t="s">
        <v>284</v>
      </c>
      <c r="I135">
        <v>2566.4</v>
      </c>
      <c r="J135">
        <v>1088.49</v>
      </c>
      <c r="K135">
        <v>422.07</v>
      </c>
      <c r="L135">
        <v>545.49</v>
      </c>
      <c r="M135" t="s">
        <v>284</v>
      </c>
      <c r="N135" t="s">
        <v>284</v>
      </c>
      <c r="O135" t="s">
        <v>284</v>
      </c>
      <c r="P135" t="s">
        <v>284</v>
      </c>
      <c r="Q135" t="s">
        <v>284</v>
      </c>
    </row>
    <row r="136" spans="1:17" x14ac:dyDescent="0.2">
      <c r="A136" t="s">
        <v>334</v>
      </c>
      <c r="B136" t="s">
        <v>335</v>
      </c>
      <c r="C136" t="s">
        <v>197</v>
      </c>
      <c r="D136" t="s">
        <v>284</v>
      </c>
      <c r="E136" t="s">
        <v>284</v>
      </c>
      <c r="F136" t="s">
        <v>284</v>
      </c>
      <c r="G136" t="s">
        <v>284</v>
      </c>
      <c r="H136" t="s">
        <v>284</v>
      </c>
      <c r="I136">
        <v>49.67</v>
      </c>
      <c r="J136">
        <v>16.420000000000002</v>
      </c>
      <c r="K136">
        <v>5.87</v>
      </c>
      <c r="L136">
        <v>330.96</v>
      </c>
      <c r="M136" t="s">
        <v>284</v>
      </c>
      <c r="N136" t="s">
        <v>284</v>
      </c>
      <c r="O136" t="s">
        <v>284</v>
      </c>
      <c r="P136" t="s">
        <v>284</v>
      </c>
      <c r="Q136" t="s">
        <v>284</v>
      </c>
    </row>
    <row r="137" spans="1:17" x14ac:dyDescent="0.2">
      <c r="A137" t="s">
        <v>336</v>
      </c>
      <c r="B137" t="s">
        <v>337</v>
      </c>
      <c r="C137" t="s">
        <v>198</v>
      </c>
      <c r="D137" t="s">
        <v>284</v>
      </c>
      <c r="E137" t="s">
        <v>284</v>
      </c>
      <c r="F137" t="s">
        <v>284</v>
      </c>
      <c r="G137" t="s">
        <v>284</v>
      </c>
      <c r="H137" t="s">
        <v>284</v>
      </c>
      <c r="I137">
        <v>466.22</v>
      </c>
      <c r="J137">
        <v>12.64</v>
      </c>
      <c r="K137">
        <v>9.61</v>
      </c>
      <c r="L137">
        <v>364.78</v>
      </c>
      <c r="M137" t="s">
        <v>284</v>
      </c>
      <c r="N137" t="s">
        <v>284</v>
      </c>
      <c r="O137" t="s">
        <v>284</v>
      </c>
      <c r="P137" t="s">
        <v>284</v>
      </c>
      <c r="Q137" t="s">
        <v>284</v>
      </c>
    </row>
    <row r="138" spans="1:17" x14ac:dyDescent="0.2">
      <c r="A138" t="s">
        <v>339</v>
      </c>
      <c r="B138" t="s">
        <v>340</v>
      </c>
      <c r="C138" t="s">
        <v>199</v>
      </c>
      <c r="D138" t="s">
        <v>284</v>
      </c>
      <c r="E138" t="s">
        <v>284</v>
      </c>
      <c r="F138" t="s">
        <v>284</v>
      </c>
      <c r="G138" t="s">
        <v>284</v>
      </c>
      <c r="H138" t="s">
        <v>284</v>
      </c>
      <c r="I138">
        <v>101.62</v>
      </c>
      <c r="J138">
        <v>12.36</v>
      </c>
      <c r="K138" t="s">
        <v>284</v>
      </c>
      <c r="L138">
        <v>413.48</v>
      </c>
      <c r="M138" t="s">
        <v>284</v>
      </c>
      <c r="N138" t="s">
        <v>284</v>
      </c>
      <c r="O138" t="s">
        <v>284</v>
      </c>
      <c r="P138" t="s">
        <v>284</v>
      </c>
      <c r="Q138" t="s">
        <v>284</v>
      </c>
    </row>
    <row r="139" spans="1:17" x14ac:dyDescent="0.2">
      <c r="A139" t="s">
        <v>342</v>
      </c>
      <c r="B139" t="s">
        <v>343</v>
      </c>
      <c r="C139" t="s">
        <v>200</v>
      </c>
      <c r="D139" t="s">
        <v>284</v>
      </c>
      <c r="E139" t="s">
        <v>284</v>
      </c>
      <c r="F139" t="s">
        <v>284</v>
      </c>
      <c r="G139" t="s">
        <v>284</v>
      </c>
      <c r="H139" t="s">
        <v>284</v>
      </c>
      <c r="I139">
        <v>53.14</v>
      </c>
      <c r="J139">
        <v>7.32</v>
      </c>
      <c r="K139" t="s">
        <v>284</v>
      </c>
      <c r="L139">
        <v>317.77</v>
      </c>
      <c r="M139" t="s">
        <v>284</v>
      </c>
      <c r="N139" t="s">
        <v>284</v>
      </c>
      <c r="O139" t="s">
        <v>284</v>
      </c>
      <c r="P139" t="s">
        <v>284</v>
      </c>
      <c r="Q139" t="s">
        <v>284</v>
      </c>
    </row>
    <row r="140" spans="1:17" x14ac:dyDescent="0.2">
      <c r="A140" t="s">
        <v>344</v>
      </c>
      <c r="B140" t="s">
        <v>345</v>
      </c>
      <c r="C140" t="s">
        <v>201</v>
      </c>
      <c r="D140" t="s">
        <v>284</v>
      </c>
      <c r="E140" t="s">
        <v>284</v>
      </c>
      <c r="F140" t="s">
        <v>284</v>
      </c>
      <c r="G140" t="s">
        <v>284</v>
      </c>
      <c r="H140" t="s">
        <v>284</v>
      </c>
      <c r="I140">
        <v>20.16</v>
      </c>
      <c r="J140">
        <v>12.73</v>
      </c>
      <c r="K140">
        <v>10.17</v>
      </c>
      <c r="L140">
        <v>178.67</v>
      </c>
      <c r="M140" t="s">
        <v>284</v>
      </c>
      <c r="N140" t="s">
        <v>284</v>
      </c>
      <c r="O140" t="s">
        <v>284</v>
      </c>
      <c r="P140" t="s">
        <v>284</v>
      </c>
      <c r="Q140" t="s">
        <v>284</v>
      </c>
    </row>
    <row r="141" spans="1:17" x14ac:dyDescent="0.2">
      <c r="A141" t="s">
        <v>346</v>
      </c>
      <c r="B141" t="s">
        <v>347</v>
      </c>
      <c r="C141" t="s">
        <v>202</v>
      </c>
      <c r="D141" t="s">
        <v>284</v>
      </c>
      <c r="E141" t="s">
        <v>284</v>
      </c>
      <c r="F141" t="s">
        <v>284</v>
      </c>
      <c r="G141" t="s">
        <v>284</v>
      </c>
      <c r="H141" t="s">
        <v>284</v>
      </c>
      <c r="I141">
        <v>27.93</v>
      </c>
      <c r="J141">
        <v>25.41</v>
      </c>
      <c r="K141" t="s">
        <v>284</v>
      </c>
      <c r="L141">
        <v>749.58</v>
      </c>
      <c r="M141" t="s">
        <v>284</v>
      </c>
      <c r="N141" t="s">
        <v>284</v>
      </c>
      <c r="O141" t="s">
        <v>284</v>
      </c>
      <c r="P141" t="s">
        <v>284</v>
      </c>
      <c r="Q141" t="s">
        <v>284</v>
      </c>
    </row>
    <row r="142" spans="1:17" x14ac:dyDescent="0.2">
      <c r="A142" t="s">
        <v>348</v>
      </c>
      <c r="B142" t="s">
        <v>349</v>
      </c>
      <c r="C142" t="s">
        <v>203</v>
      </c>
      <c r="D142" t="s">
        <v>284</v>
      </c>
      <c r="E142" t="s">
        <v>284</v>
      </c>
      <c r="F142" t="s">
        <v>284</v>
      </c>
      <c r="G142" t="s">
        <v>284</v>
      </c>
      <c r="H142" t="s">
        <v>284</v>
      </c>
      <c r="I142">
        <v>46.16</v>
      </c>
      <c r="J142">
        <v>52.63</v>
      </c>
      <c r="K142" t="s">
        <v>284</v>
      </c>
      <c r="L142">
        <v>205.08</v>
      </c>
      <c r="M142" t="s">
        <v>284</v>
      </c>
      <c r="N142" t="s">
        <v>284</v>
      </c>
      <c r="O142" t="s">
        <v>284</v>
      </c>
      <c r="P142">
        <v>13.06</v>
      </c>
      <c r="Q142" t="s">
        <v>284</v>
      </c>
    </row>
    <row r="143" spans="1:17" x14ac:dyDescent="0.2">
      <c r="A143" t="s">
        <v>351</v>
      </c>
      <c r="B143" t="s">
        <v>352</v>
      </c>
      <c r="C143" t="s">
        <v>204</v>
      </c>
      <c r="D143" t="s">
        <v>284</v>
      </c>
      <c r="E143" t="s">
        <v>284</v>
      </c>
      <c r="F143" t="s">
        <v>284</v>
      </c>
      <c r="G143" t="s">
        <v>284</v>
      </c>
      <c r="H143">
        <v>42.71</v>
      </c>
      <c r="I143">
        <v>2182</v>
      </c>
      <c r="J143">
        <v>315.57</v>
      </c>
      <c r="K143">
        <v>48.47</v>
      </c>
      <c r="L143">
        <v>403.19</v>
      </c>
      <c r="M143" t="s">
        <v>284</v>
      </c>
      <c r="N143" t="s">
        <v>284</v>
      </c>
      <c r="O143" t="s">
        <v>284</v>
      </c>
      <c r="P143" t="s">
        <v>284</v>
      </c>
      <c r="Q143" t="s">
        <v>284</v>
      </c>
    </row>
    <row r="144" spans="1:17" x14ac:dyDescent="0.2">
      <c r="A144" t="s">
        <v>353</v>
      </c>
      <c r="B144" t="s">
        <v>354</v>
      </c>
      <c r="C144" t="s">
        <v>205</v>
      </c>
      <c r="D144" t="s">
        <v>284</v>
      </c>
      <c r="E144" t="s">
        <v>284</v>
      </c>
      <c r="F144" t="s">
        <v>284</v>
      </c>
      <c r="G144" t="s">
        <v>284</v>
      </c>
      <c r="H144" t="s">
        <v>284</v>
      </c>
      <c r="I144">
        <v>31.69</v>
      </c>
      <c r="J144">
        <v>12.54</v>
      </c>
      <c r="K144">
        <v>18.25</v>
      </c>
      <c r="L144">
        <v>525.78</v>
      </c>
      <c r="M144" t="s">
        <v>284</v>
      </c>
      <c r="N144" t="s">
        <v>284</v>
      </c>
      <c r="O144" t="s">
        <v>284</v>
      </c>
      <c r="P144" t="s">
        <v>284</v>
      </c>
      <c r="Q144" t="s">
        <v>284</v>
      </c>
    </row>
    <row r="145" spans="1:17" x14ac:dyDescent="0.2">
      <c r="A145" t="s">
        <v>356</v>
      </c>
      <c r="B145" t="s">
        <v>357</v>
      </c>
      <c r="C145" t="s">
        <v>206</v>
      </c>
      <c r="D145" t="s">
        <v>284</v>
      </c>
      <c r="E145" t="s">
        <v>284</v>
      </c>
      <c r="F145" t="s">
        <v>284</v>
      </c>
      <c r="G145" t="s">
        <v>284</v>
      </c>
      <c r="H145" t="s">
        <v>284</v>
      </c>
      <c r="I145" t="s">
        <v>284</v>
      </c>
      <c r="J145">
        <v>29.57</v>
      </c>
      <c r="K145" t="s">
        <v>505</v>
      </c>
      <c r="L145">
        <v>654.01</v>
      </c>
      <c r="M145" t="s">
        <v>284</v>
      </c>
      <c r="N145" t="s">
        <v>284</v>
      </c>
      <c r="O145" t="s">
        <v>284</v>
      </c>
      <c r="P145" t="s">
        <v>284</v>
      </c>
      <c r="Q145" t="s">
        <v>284</v>
      </c>
    </row>
    <row r="146" spans="1:17" x14ac:dyDescent="0.2">
      <c r="A146" t="s">
        <v>358</v>
      </c>
      <c r="B146" t="s">
        <v>359</v>
      </c>
      <c r="C146" t="s">
        <v>207</v>
      </c>
      <c r="D146" t="s">
        <v>284</v>
      </c>
      <c r="E146" t="s">
        <v>284</v>
      </c>
      <c r="F146" t="s">
        <v>284</v>
      </c>
      <c r="G146" t="s">
        <v>284</v>
      </c>
      <c r="H146" t="s">
        <v>284</v>
      </c>
      <c r="I146">
        <v>237.15</v>
      </c>
      <c r="J146">
        <v>61.22</v>
      </c>
      <c r="K146">
        <v>7.77</v>
      </c>
      <c r="L146">
        <v>393.83</v>
      </c>
      <c r="M146" t="s">
        <v>284</v>
      </c>
      <c r="N146" t="s">
        <v>284</v>
      </c>
      <c r="O146" t="s">
        <v>284</v>
      </c>
      <c r="P146" t="s">
        <v>284</v>
      </c>
      <c r="Q146" t="s">
        <v>284</v>
      </c>
    </row>
    <row r="147" spans="1:17" x14ac:dyDescent="0.2">
      <c r="A147" t="s">
        <v>360</v>
      </c>
      <c r="B147" t="s">
        <v>361</v>
      </c>
      <c r="C147" t="s">
        <v>208</v>
      </c>
      <c r="D147" t="s">
        <v>284</v>
      </c>
      <c r="E147" t="s">
        <v>284</v>
      </c>
      <c r="F147" t="s">
        <v>284</v>
      </c>
      <c r="G147" t="s">
        <v>284</v>
      </c>
      <c r="H147" t="s">
        <v>284</v>
      </c>
      <c r="I147">
        <v>48.97</v>
      </c>
      <c r="J147">
        <v>8.5399999999999991</v>
      </c>
      <c r="K147" t="s">
        <v>284</v>
      </c>
      <c r="L147">
        <v>555.82000000000005</v>
      </c>
      <c r="M147" t="s">
        <v>284</v>
      </c>
      <c r="N147" t="s">
        <v>284</v>
      </c>
      <c r="O147" t="s">
        <v>284</v>
      </c>
      <c r="P147" t="s">
        <v>284</v>
      </c>
      <c r="Q147" t="s">
        <v>284</v>
      </c>
    </row>
    <row r="148" spans="1:17" x14ac:dyDescent="0.2">
      <c r="A148" t="s">
        <v>362</v>
      </c>
      <c r="B148" t="s">
        <v>363</v>
      </c>
      <c r="C148" t="s">
        <v>209</v>
      </c>
      <c r="D148" t="s">
        <v>284</v>
      </c>
      <c r="E148" t="s">
        <v>284</v>
      </c>
      <c r="F148" t="s">
        <v>284</v>
      </c>
      <c r="G148" t="s">
        <v>284</v>
      </c>
      <c r="H148" t="s">
        <v>284</v>
      </c>
      <c r="I148">
        <v>46.16</v>
      </c>
      <c r="J148">
        <v>10.67</v>
      </c>
      <c r="K148">
        <v>5.44</v>
      </c>
      <c r="L148">
        <v>550.17999999999995</v>
      </c>
      <c r="M148" t="s">
        <v>284</v>
      </c>
      <c r="N148" t="s">
        <v>284</v>
      </c>
      <c r="O148" t="s">
        <v>284</v>
      </c>
      <c r="P148" t="s">
        <v>284</v>
      </c>
      <c r="Q148" t="s">
        <v>284</v>
      </c>
    </row>
    <row r="149" spans="1:17" x14ac:dyDescent="0.2">
      <c r="A149" t="s">
        <v>364</v>
      </c>
      <c r="B149" t="s">
        <v>365</v>
      </c>
      <c r="C149" t="s">
        <v>210</v>
      </c>
      <c r="D149" t="s">
        <v>284</v>
      </c>
      <c r="E149" t="s">
        <v>284</v>
      </c>
      <c r="F149" t="s">
        <v>284</v>
      </c>
      <c r="G149" t="s">
        <v>284</v>
      </c>
      <c r="H149" t="s">
        <v>284</v>
      </c>
      <c r="I149">
        <v>141.44999999999999</v>
      </c>
      <c r="J149">
        <v>4.04</v>
      </c>
      <c r="K149">
        <v>2.15</v>
      </c>
      <c r="L149">
        <v>246.56</v>
      </c>
      <c r="M149" t="s">
        <v>284</v>
      </c>
      <c r="N149" t="s">
        <v>284</v>
      </c>
      <c r="O149" t="s">
        <v>284</v>
      </c>
      <c r="P149" t="s">
        <v>284</v>
      </c>
      <c r="Q149" t="s">
        <v>284</v>
      </c>
    </row>
    <row r="150" spans="1:17" x14ac:dyDescent="0.2">
      <c r="A150" t="s">
        <v>366</v>
      </c>
      <c r="B150" t="s">
        <v>367</v>
      </c>
      <c r="C150" t="s">
        <v>211</v>
      </c>
      <c r="D150" t="s">
        <v>284</v>
      </c>
      <c r="E150" t="s">
        <v>284</v>
      </c>
      <c r="F150" t="s">
        <v>284</v>
      </c>
      <c r="G150" t="s">
        <v>284</v>
      </c>
      <c r="H150" t="s">
        <v>284</v>
      </c>
      <c r="I150">
        <v>24.86</v>
      </c>
      <c r="J150">
        <v>2.5299999999999998</v>
      </c>
      <c r="K150" t="s">
        <v>284</v>
      </c>
      <c r="L150">
        <v>448.08</v>
      </c>
      <c r="M150" t="s">
        <v>284</v>
      </c>
      <c r="N150" t="s">
        <v>284</v>
      </c>
      <c r="O150" t="s">
        <v>284</v>
      </c>
      <c r="P150" t="s">
        <v>284</v>
      </c>
      <c r="Q150" t="s">
        <v>284</v>
      </c>
    </row>
    <row r="151" spans="1:17" x14ac:dyDescent="0.2">
      <c r="A151" t="s">
        <v>369</v>
      </c>
      <c r="B151" t="s">
        <v>370</v>
      </c>
      <c r="C151" t="s">
        <v>212</v>
      </c>
      <c r="D151" t="s">
        <v>284</v>
      </c>
      <c r="E151" t="s">
        <v>284</v>
      </c>
      <c r="F151" t="s">
        <v>284</v>
      </c>
      <c r="G151" t="s">
        <v>284</v>
      </c>
      <c r="H151" t="s">
        <v>284</v>
      </c>
      <c r="I151" t="s">
        <v>503</v>
      </c>
      <c r="J151">
        <v>4.8499999999999996</v>
      </c>
      <c r="K151" t="s">
        <v>284</v>
      </c>
      <c r="L151">
        <v>380.71</v>
      </c>
      <c r="M151" t="s">
        <v>284</v>
      </c>
      <c r="N151" t="s">
        <v>284</v>
      </c>
      <c r="O151" t="s">
        <v>284</v>
      </c>
      <c r="P151" t="s">
        <v>284</v>
      </c>
      <c r="Q151" t="s">
        <v>284</v>
      </c>
    </row>
    <row r="152" spans="1:17" x14ac:dyDescent="0.2">
      <c r="A152" t="s">
        <v>371</v>
      </c>
      <c r="B152" t="s">
        <v>372</v>
      </c>
      <c r="C152" t="s">
        <v>213</v>
      </c>
      <c r="D152" t="s">
        <v>284</v>
      </c>
      <c r="E152" t="s">
        <v>284</v>
      </c>
      <c r="F152" t="s">
        <v>284</v>
      </c>
      <c r="G152" t="s">
        <v>284</v>
      </c>
      <c r="H152" t="s">
        <v>284</v>
      </c>
      <c r="I152" t="s">
        <v>284</v>
      </c>
      <c r="J152">
        <v>4.51</v>
      </c>
      <c r="K152" t="s">
        <v>284</v>
      </c>
      <c r="L152">
        <v>308.33</v>
      </c>
      <c r="M152" t="s">
        <v>284</v>
      </c>
      <c r="N152" t="s">
        <v>284</v>
      </c>
      <c r="O152" t="s">
        <v>284</v>
      </c>
      <c r="P152" t="s">
        <v>284</v>
      </c>
      <c r="Q152" t="s">
        <v>284</v>
      </c>
    </row>
    <row r="153" spans="1:17" x14ac:dyDescent="0.2">
      <c r="A153" t="s">
        <v>374</v>
      </c>
      <c r="B153" t="s">
        <v>375</v>
      </c>
      <c r="C153" t="s">
        <v>214</v>
      </c>
      <c r="D153" t="s">
        <v>284</v>
      </c>
      <c r="E153" t="s">
        <v>284</v>
      </c>
      <c r="F153" t="s">
        <v>284</v>
      </c>
      <c r="G153" t="s">
        <v>284</v>
      </c>
      <c r="H153" t="s">
        <v>284</v>
      </c>
      <c r="I153">
        <v>249.95</v>
      </c>
      <c r="J153">
        <v>28.66</v>
      </c>
      <c r="K153">
        <v>4.08</v>
      </c>
      <c r="L153">
        <v>384.46</v>
      </c>
      <c r="M153" t="s">
        <v>284</v>
      </c>
      <c r="N153" t="s">
        <v>284</v>
      </c>
      <c r="O153" t="s">
        <v>284</v>
      </c>
      <c r="P153" t="s">
        <v>284</v>
      </c>
      <c r="Q153" t="s">
        <v>284</v>
      </c>
    </row>
    <row r="154" spans="1:17" x14ac:dyDescent="0.2">
      <c r="A154" t="s">
        <v>377</v>
      </c>
      <c r="B154" t="s">
        <v>378</v>
      </c>
      <c r="C154" t="s">
        <v>215</v>
      </c>
      <c r="D154" t="s">
        <v>284</v>
      </c>
      <c r="E154" t="s">
        <v>284</v>
      </c>
      <c r="F154" t="s">
        <v>284</v>
      </c>
      <c r="G154" t="s">
        <v>284</v>
      </c>
      <c r="H154">
        <v>17.149999999999999</v>
      </c>
      <c r="I154">
        <v>1110.18</v>
      </c>
      <c r="J154">
        <v>75.38</v>
      </c>
      <c r="K154" t="s">
        <v>284</v>
      </c>
      <c r="L154">
        <v>1028.01</v>
      </c>
      <c r="M154" t="s">
        <v>284</v>
      </c>
      <c r="N154" t="s">
        <v>284</v>
      </c>
      <c r="O154" t="s">
        <v>284</v>
      </c>
      <c r="P154" t="s">
        <v>284</v>
      </c>
      <c r="Q154" t="s">
        <v>284</v>
      </c>
    </row>
    <row r="155" spans="1:17" x14ac:dyDescent="0.2">
      <c r="A155" t="s">
        <v>379</v>
      </c>
      <c r="B155" t="s">
        <v>380</v>
      </c>
      <c r="C155" t="s">
        <v>216</v>
      </c>
      <c r="D155" t="s">
        <v>284</v>
      </c>
      <c r="E155" t="s">
        <v>284</v>
      </c>
      <c r="F155" t="s">
        <v>284</v>
      </c>
      <c r="G155" t="s">
        <v>284</v>
      </c>
      <c r="H155" t="s">
        <v>284</v>
      </c>
      <c r="I155">
        <v>24.86</v>
      </c>
      <c r="J155">
        <v>12.54</v>
      </c>
      <c r="K155" t="s">
        <v>284</v>
      </c>
      <c r="L155">
        <v>649.27</v>
      </c>
      <c r="M155" t="s">
        <v>284</v>
      </c>
      <c r="N155" t="s">
        <v>284</v>
      </c>
      <c r="O155" t="s">
        <v>284</v>
      </c>
      <c r="P155" t="s">
        <v>284</v>
      </c>
      <c r="Q155" t="s">
        <v>284</v>
      </c>
    </row>
    <row r="156" spans="1:17" x14ac:dyDescent="0.2">
      <c r="A156" t="s">
        <v>381</v>
      </c>
      <c r="B156" t="s">
        <v>382</v>
      </c>
      <c r="C156" t="s">
        <v>217</v>
      </c>
      <c r="D156" t="s">
        <v>284</v>
      </c>
      <c r="E156" t="s">
        <v>284</v>
      </c>
      <c r="F156" t="s">
        <v>284</v>
      </c>
      <c r="G156" t="s">
        <v>284</v>
      </c>
      <c r="H156" t="s">
        <v>284</v>
      </c>
      <c r="I156">
        <v>393.21</v>
      </c>
      <c r="J156">
        <v>19.64</v>
      </c>
      <c r="K156">
        <v>1.84</v>
      </c>
      <c r="L156">
        <v>709.28</v>
      </c>
      <c r="M156" t="s">
        <v>284</v>
      </c>
      <c r="N156" t="s">
        <v>284</v>
      </c>
      <c r="O156" t="s">
        <v>284</v>
      </c>
      <c r="P156" t="s">
        <v>284</v>
      </c>
      <c r="Q156" t="s">
        <v>284</v>
      </c>
    </row>
    <row r="157" spans="1:17" x14ac:dyDescent="0.2">
      <c r="A157" t="s">
        <v>383</v>
      </c>
      <c r="B157" t="s">
        <v>384</v>
      </c>
      <c r="C157" t="s">
        <v>218</v>
      </c>
      <c r="D157" t="s">
        <v>284</v>
      </c>
      <c r="E157" t="s">
        <v>284</v>
      </c>
      <c r="F157" t="s">
        <v>284</v>
      </c>
      <c r="G157" t="s">
        <v>284</v>
      </c>
      <c r="H157" t="s">
        <v>284</v>
      </c>
      <c r="I157">
        <v>39.020000000000003</v>
      </c>
      <c r="J157">
        <v>6.28</v>
      </c>
      <c r="K157" t="s">
        <v>284</v>
      </c>
      <c r="L157">
        <v>585.92999999999995</v>
      </c>
      <c r="M157" t="s">
        <v>284</v>
      </c>
      <c r="N157" t="s">
        <v>284</v>
      </c>
      <c r="O157" t="s">
        <v>284</v>
      </c>
      <c r="P157" t="s">
        <v>284</v>
      </c>
      <c r="Q157" t="s">
        <v>284</v>
      </c>
    </row>
    <row r="158" spans="1:17" x14ac:dyDescent="0.2">
      <c r="A158" t="s">
        <v>386</v>
      </c>
      <c r="B158" t="s">
        <v>387</v>
      </c>
      <c r="C158" t="s">
        <v>219</v>
      </c>
      <c r="D158" t="s">
        <v>284</v>
      </c>
      <c r="E158" t="s">
        <v>284</v>
      </c>
      <c r="F158" t="s">
        <v>284</v>
      </c>
      <c r="G158" t="s">
        <v>284</v>
      </c>
      <c r="H158" t="s">
        <v>284</v>
      </c>
      <c r="I158">
        <v>8.3699999999999992</v>
      </c>
      <c r="J158">
        <v>14.37</v>
      </c>
      <c r="K158" t="s">
        <v>504</v>
      </c>
      <c r="L158">
        <v>1405.9</v>
      </c>
      <c r="M158" t="s">
        <v>284</v>
      </c>
      <c r="N158" t="s">
        <v>284</v>
      </c>
      <c r="O158" t="s">
        <v>284</v>
      </c>
      <c r="P158" t="s">
        <v>284</v>
      </c>
      <c r="Q158" t="s">
        <v>284</v>
      </c>
    </row>
    <row r="159" spans="1:17" x14ac:dyDescent="0.2">
      <c r="A159" t="s">
        <v>388</v>
      </c>
      <c r="B159" t="s">
        <v>389</v>
      </c>
      <c r="C159" t="s">
        <v>220</v>
      </c>
      <c r="D159" t="s">
        <v>284</v>
      </c>
      <c r="E159" t="s">
        <v>284</v>
      </c>
      <c r="F159" t="s">
        <v>284</v>
      </c>
      <c r="G159" t="s">
        <v>284</v>
      </c>
      <c r="H159" t="s">
        <v>284</v>
      </c>
      <c r="I159">
        <v>27.16</v>
      </c>
      <c r="J159" t="s">
        <v>284</v>
      </c>
      <c r="K159" t="s">
        <v>284</v>
      </c>
      <c r="L159">
        <v>782.4</v>
      </c>
      <c r="M159" t="s">
        <v>284</v>
      </c>
      <c r="N159" t="s">
        <v>284</v>
      </c>
      <c r="O159" t="s">
        <v>284</v>
      </c>
      <c r="P159" t="s">
        <v>284</v>
      </c>
      <c r="Q159" t="s">
        <v>284</v>
      </c>
    </row>
    <row r="160" spans="1:17" x14ac:dyDescent="0.2">
      <c r="A160" t="s">
        <v>391</v>
      </c>
      <c r="B160" t="s">
        <v>392</v>
      </c>
      <c r="C160" t="s">
        <v>221</v>
      </c>
      <c r="D160" t="s">
        <v>284</v>
      </c>
      <c r="E160" t="s">
        <v>284</v>
      </c>
      <c r="F160" t="s">
        <v>284</v>
      </c>
      <c r="G160" t="s">
        <v>284</v>
      </c>
      <c r="H160" t="s">
        <v>284</v>
      </c>
      <c r="I160">
        <v>51.06</v>
      </c>
      <c r="J160">
        <v>55.41</v>
      </c>
      <c r="K160" t="s">
        <v>284</v>
      </c>
      <c r="L160">
        <v>625.58000000000004</v>
      </c>
      <c r="M160" t="s">
        <v>284</v>
      </c>
      <c r="N160" t="s">
        <v>284</v>
      </c>
      <c r="O160" t="s">
        <v>284</v>
      </c>
      <c r="P160" t="s">
        <v>284</v>
      </c>
      <c r="Q160" t="s">
        <v>284</v>
      </c>
    </row>
    <row r="161" spans="1:17" x14ac:dyDescent="0.2">
      <c r="A161" t="s">
        <v>394</v>
      </c>
      <c r="B161" t="s">
        <v>395</v>
      </c>
      <c r="C161" t="s">
        <v>222</v>
      </c>
      <c r="D161" t="s">
        <v>284</v>
      </c>
      <c r="E161" t="s">
        <v>284</v>
      </c>
      <c r="F161" t="s">
        <v>284</v>
      </c>
      <c r="G161" t="s">
        <v>284</v>
      </c>
      <c r="H161" t="s">
        <v>284</v>
      </c>
      <c r="I161">
        <v>296.05</v>
      </c>
      <c r="J161">
        <v>103.24</v>
      </c>
      <c r="K161">
        <v>35.65</v>
      </c>
      <c r="L161">
        <v>415.35</v>
      </c>
      <c r="M161" t="s">
        <v>284</v>
      </c>
      <c r="N161" t="s">
        <v>284</v>
      </c>
      <c r="O161" t="s">
        <v>284</v>
      </c>
      <c r="P161" t="s">
        <v>284</v>
      </c>
      <c r="Q161" t="s">
        <v>284</v>
      </c>
    </row>
    <row r="162" spans="1:17" x14ac:dyDescent="0.2">
      <c r="A162" t="s">
        <v>396</v>
      </c>
      <c r="B162" t="s">
        <v>397</v>
      </c>
      <c r="C162" t="s">
        <v>223</v>
      </c>
      <c r="D162" t="s">
        <v>284</v>
      </c>
      <c r="E162" t="s">
        <v>284</v>
      </c>
      <c r="F162" t="s">
        <v>284</v>
      </c>
      <c r="G162" t="s">
        <v>284</v>
      </c>
      <c r="H162" t="s">
        <v>284</v>
      </c>
      <c r="I162">
        <v>53.83</v>
      </c>
      <c r="J162">
        <v>4.28</v>
      </c>
      <c r="K162" t="s">
        <v>284</v>
      </c>
      <c r="L162">
        <v>341.31</v>
      </c>
      <c r="M162" t="s">
        <v>284</v>
      </c>
      <c r="N162" t="s">
        <v>284</v>
      </c>
      <c r="O162" t="s">
        <v>284</v>
      </c>
      <c r="P162" t="s">
        <v>284</v>
      </c>
      <c r="Q162" t="s">
        <v>284</v>
      </c>
    </row>
    <row r="163" spans="1:17" x14ac:dyDescent="0.2">
      <c r="A163" t="s">
        <v>399</v>
      </c>
      <c r="B163" t="s">
        <v>472</v>
      </c>
      <c r="C163" t="s">
        <v>224</v>
      </c>
      <c r="D163" t="s">
        <v>284</v>
      </c>
      <c r="E163" t="s">
        <v>284</v>
      </c>
      <c r="F163" t="s">
        <v>284</v>
      </c>
      <c r="G163" t="s">
        <v>284</v>
      </c>
      <c r="H163" t="s">
        <v>284</v>
      </c>
      <c r="I163">
        <v>18.55</v>
      </c>
      <c r="J163">
        <v>2.2599999999999998</v>
      </c>
      <c r="K163" t="s">
        <v>284</v>
      </c>
      <c r="L163">
        <v>341.31</v>
      </c>
      <c r="M163" t="s">
        <v>284</v>
      </c>
      <c r="N163" t="s">
        <v>284</v>
      </c>
      <c r="O163" t="s">
        <v>284</v>
      </c>
      <c r="P163" t="s">
        <v>284</v>
      </c>
      <c r="Q163" t="s">
        <v>284</v>
      </c>
    </row>
    <row r="164" spans="1:17" x14ac:dyDescent="0.2">
      <c r="A164" t="s">
        <v>399</v>
      </c>
      <c r="B164" t="s">
        <v>473</v>
      </c>
      <c r="C164" t="s">
        <v>224</v>
      </c>
      <c r="D164" t="s">
        <v>284</v>
      </c>
      <c r="E164" t="s">
        <v>284</v>
      </c>
      <c r="F164" t="s">
        <v>284</v>
      </c>
      <c r="G164" t="s">
        <v>284</v>
      </c>
      <c r="H164" t="s">
        <v>284</v>
      </c>
      <c r="I164" t="s">
        <v>503</v>
      </c>
      <c r="J164" t="s">
        <v>284</v>
      </c>
      <c r="K164" t="s">
        <v>284</v>
      </c>
      <c r="L164">
        <v>270.42</v>
      </c>
      <c r="M164" t="s">
        <v>284</v>
      </c>
      <c r="N164" t="s">
        <v>284</v>
      </c>
      <c r="O164" t="s">
        <v>284</v>
      </c>
      <c r="P164" t="s">
        <v>284</v>
      </c>
      <c r="Q164" t="s">
        <v>284</v>
      </c>
    </row>
    <row r="165" spans="1:17" x14ac:dyDescent="0.2">
      <c r="A165" t="s">
        <v>403</v>
      </c>
      <c r="B165" t="s">
        <v>474</v>
      </c>
      <c r="C165" t="s">
        <v>225</v>
      </c>
      <c r="D165" t="s">
        <v>284</v>
      </c>
      <c r="E165" t="s">
        <v>284</v>
      </c>
      <c r="F165" t="s">
        <v>284</v>
      </c>
      <c r="G165" t="s">
        <v>284</v>
      </c>
      <c r="H165" t="s">
        <v>284</v>
      </c>
      <c r="I165">
        <v>382.68</v>
      </c>
      <c r="J165">
        <v>259.62</v>
      </c>
      <c r="K165">
        <v>28.72</v>
      </c>
      <c r="L165">
        <v>671.12</v>
      </c>
      <c r="M165" t="s">
        <v>284</v>
      </c>
      <c r="N165" t="s">
        <v>284</v>
      </c>
      <c r="O165" t="s">
        <v>284</v>
      </c>
      <c r="P165" t="s">
        <v>284</v>
      </c>
      <c r="Q165" t="s">
        <v>284</v>
      </c>
    </row>
    <row r="166" spans="1:17" x14ac:dyDescent="0.2">
      <c r="A166" t="s">
        <v>403</v>
      </c>
      <c r="B166" t="s">
        <v>475</v>
      </c>
      <c r="C166" t="s">
        <v>225</v>
      </c>
      <c r="D166" t="s">
        <v>284</v>
      </c>
      <c r="E166" t="s">
        <v>284</v>
      </c>
      <c r="F166" t="s">
        <v>284</v>
      </c>
      <c r="G166" t="s">
        <v>284</v>
      </c>
      <c r="H166" t="s">
        <v>284</v>
      </c>
      <c r="I166">
        <v>373.17</v>
      </c>
      <c r="J166">
        <v>230.13</v>
      </c>
      <c r="K166">
        <v>25.31</v>
      </c>
      <c r="L166">
        <v>537.98</v>
      </c>
      <c r="M166" t="s">
        <v>284</v>
      </c>
      <c r="N166" t="s">
        <v>284</v>
      </c>
      <c r="O166" t="s">
        <v>284</v>
      </c>
      <c r="P166" t="s">
        <v>284</v>
      </c>
      <c r="Q166" t="s">
        <v>284</v>
      </c>
    </row>
    <row r="167" spans="1:17" x14ac:dyDescent="0.2">
      <c r="A167" t="s">
        <v>406</v>
      </c>
      <c r="B167" t="s">
        <v>476</v>
      </c>
      <c r="C167" t="s">
        <v>226</v>
      </c>
      <c r="D167" t="s">
        <v>284</v>
      </c>
      <c r="E167" t="s">
        <v>284</v>
      </c>
      <c r="F167" t="s">
        <v>284</v>
      </c>
      <c r="G167" t="s">
        <v>284</v>
      </c>
      <c r="H167" t="s">
        <v>284</v>
      </c>
      <c r="I167">
        <v>51.75</v>
      </c>
      <c r="J167">
        <v>25.66</v>
      </c>
      <c r="K167">
        <v>23.49</v>
      </c>
      <c r="L167">
        <v>708.33</v>
      </c>
      <c r="M167" t="s">
        <v>284</v>
      </c>
      <c r="N167" t="s">
        <v>284</v>
      </c>
      <c r="O167" t="s">
        <v>284</v>
      </c>
      <c r="P167" t="s">
        <v>284</v>
      </c>
      <c r="Q167" t="s">
        <v>284</v>
      </c>
    </row>
    <row r="168" spans="1:17" x14ac:dyDescent="0.2">
      <c r="A168" t="s">
        <v>406</v>
      </c>
      <c r="B168" t="s">
        <v>478</v>
      </c>
      <c r="C168" t="s">
        <v>226</v>
      </c>
      <c r="D168" t="s">
        <v>284</v>
      </c>
      <c r="E168" t="s">
        <v>284</v>
      </c>
      <c r="F168" t="s">
        <v>284</v>
      </c>
      <c r="G168" t="s">
        <v>284</v>
      </c>
      <c r="H168" t="s">
        <v>284</v>
      </c>
      <c r="I168">
        <v>33.909999999999997</v>
      </c>
      <c r="J168">
        <v>22.46</v>
      </c>
      <c r="K168">
        <v>19.46</v>
      </c>
      <c r="L168">
        <v>580.28</v>
      </c>
      <c r="M168" t="s">
        <v>284</v>
      </c>
      <c r="N168" t="s">
        <v>284</v>
      </c>
      <c r="O168" t="s">
        <v>284</v>
      </c>
      <c r="P168" t="s">
        <v>284</v>
      </c>
      <c r="Q168" t="s">
        <v>284</v>
      </c>
    </row>
    <row r="169" spans="1:17" x14ac:dyDescent="0.2">
      <c r="A169" t="s">
        <v>408</v>
      </c>
      <c r="B169" t="s">
        <v>479</v>
      </c>
      <c r="C169" t="s">
        <v>227</v>
      </c>
      <c r="D169" t="s">
        <v>284</v>
      </c>
      <c r="E169" t="s">
        <v>284</v>
      </c>
      <c r="F169" t="s">
        <v>284</v>
      </c>
      <c r="G169" t="s">
        <v>284</v>
      </c>
      <c r="H169" t="s">
        <v>284</v>
      </c>
      <c r="I169">
        <v>199.31</v>
      </c>
      <c r="J169">
        <v>15.08</v>
      </c>
      <c r="K169">
        <v>4.7</v>
      </c>
      <c r="L169">
        <v>548.29999999999995</v>
      </c>
      <c r="M169" t="s">
        <v>284</v>
      </c>
      <c r="N169" t="s">
        <v>284</v>
      </c>
      <c r="O169" t="s">
        <v>284</v>
      </c>
      <c r="P169" t="s">
        <v>284</v>
      </c>
      <c r="Q169" t="s">
        <v>284</v>
      </c>
    </row>
    <row r="170" spans="1:17" x14ac:dyDescent="0.2">
      <c r="A170" t="s">
        <v>408</v>
      </c>
      <c r="B170" t="s">
        <v>480</v>
      </c>
      <c r="C170" t="s">
        <v>227</v>
      </c>
      <c r="D170" t="s">
        <v>284</v>
      </c>
      <c r="E170" t="s">
        <v>284</v>
      </c>
      <c r="F170" t="s">
        <v>284</v>
      </c>
      <c r="G170" t="s">
        <v>284</v>
      </c>
      <c r="H170" t="s">
        <v>284</v>
      </c>
      <c r="I170">
        <v>180.32</v>
      </c>
      <c r="J170">
        <v>11.61</v>
      </c>
      <c r="K170">
        <v>3</v>
      </c>
      <c r="L170">
        <v>535.16</v>
      </c>
      <c r="M170" t="s">
        <v>284</v>
      </c>
      <c r="N170" t="s">
        <v>284</v>
      </c>
      <c r="O170" t="s">
        <v>284</v>
      </c>
      <c r="P170" t="s">
        <v>284</v>
      </c>
      <c r="Q170" t="s">
        <v>284</v>
      </c>
    </row>
    <row r="171" spans="1:17" x14ac:dyDescent="0.2">
      <c r="A171" t="s">
        <v>410</v>
      </c>
      <c r="B171" t="s">
        <v>481</v>
      </c>
      <c r="C171" t="s">
        <v>228</v>
      </c>
      <c r="D171" t="s">
        <v>284</v>
      </c>
      <c r="E171" t="s">
        <v>284</v>
      </c>
      <c r="F171" t="s">
        <v>284</v>
      </c>
      <c r="G171" t="s">
        <v>284</v>
      </c>
      <c r="H171" t="s">
        <v>284</v>
      </c>
      <c r="I171" t="s">
        <v>502</v>
      </c>
      <c r="J171" t="s">
        <v>284</v>
      </c>
      <c r="K171" t="s">
        <v>284</v>
      </c>
      <c r="L171">
        <v>255.17</v>
      </c>
      <c r="M171" t="s">
        <v>284</v>
      </c>
      <c r="N171" t="s">
        <v>284</v>
      </c>
      <c r="O171" t="s">
        <v>284</v>
      </c>
      <c r="P171" t="s">
        <v>284</v>
      </c>
      <c r="Q171" t="s">
        <v>284</v>
      </c>
    </row>
    <row r="172" spans="1:17" x14ac:dyDescent="0.2">
      <c r="A172" t="s">
        <v>410</v>
      </c>
      <c r="B172" t="s">
        <v>482</v>
      </c>
      <c r="C172" t="s">
        <v>228</v>
      </c>
      <c r="D172" t="s">
        <v>284</v>
      </c>
      <c r="E172" t="s">
        <v>284</v>
      </c>
      <c r="F172" t="s">
        <v>284</v>
      </c>
      <c r="G172" t="s">
        <v>284</v>
      </c>
      <c r="H172" t="s">
        <v>284</v>
      </c>
      <c r="I172" t="s">
        <v>501</v>
      </c>
      <c r="J172" t="s">
        <v>284</v>
      </c>
      <c r="K172" t="s">
        <v>284</v>
      </c>
      <c r="L172">
        <v>238.89</v>
      </c>
      <c r="M172" t="s">
        <v>284</v>
      </c>
      <c r="N172" t="s">
        <v>284</v>
      </c>
      <c r="O172" t="s">
        <v>284</v>
      </c>
      <c r="P172" t="s">
        <v>284</v>
      </c>
      <c r="Q172" t="s">
        <v>284</v>
      </c>
    </row>
    <row r="173" spans="1:17" x14ac:dyDescent="0.2">
      <c r="A173" t="s">
        <v>412</v>
      </c>
      <c r="B173" t="s">
        <v>484</v>
      </c>
      <c r="C173" t="s">
        <v>229</v>
      </c>
      <c r="D173" t="s">
        <v>284</v>
      </c>
      <c r="E173" t="s">
        <v>284</v>
      </c>
      <c r="F173" t="s">
        <v>284</v>
      </c>
      <c r="G173" t="s">
        <v>284</v>
      </c>
      <c r="H173" t="s">
        <v>284</v>
      </c>
      <c r="I173" t="s">
        <v>284</v>
      </c>
      <c r="J173" t="s">
        <v>284</v>
      </c>
      <c r="K173" t="s">
        <v>284</v>
      </c>
      <c r="L173">
        <v>727.48</v>
      </c>
      <c r="M173" t="s">
        <v>284</v>
      </c>
      <c r="N173" t="s">
        <v>284</v>
      </c>
      <c r="O173" t="s">
        <v>284</v>
      </c>
      <c r="P173" t="s">
        <v>284</v>
      </c>
      <c r="Q173" t="s">
        <v>284</v>
      </c>
    </row>
    <row r="174" spans="1:17" x14ac:dyDescent="0.2">
      <c r="A174" t="s">
        <v>412</v>
      </c>
      <c r="B174" t="s">
        <v>485</v>
      </c>
      <c r="C174" t="s">
        <v>229</v>
      </c>
      <c r="D174" t="s">
        <v>284</v>
      </c>
      <c r="E174" t="s">
        <v>284</v>
      </c>
      <c r="F174" t="s">
        <v>284</v>
      </c>
      <c r="G174" t="s">
        <v>284</v>
      </c>
      <c r="H174" t="s">
        <v>284</v>
      </c>
      <c r="I174" t="s">
        <v>284</v>
      </c>
      <c r="J174" t="s">
        <v>284</v>
      </c>
      <c r="K174" t="s">
        <v>284</v>
      </c>
      <c r="L174">
        <v>825.14</v>
      </c>
      <c r="M174" t="s">
        <v>284</v>
      </c>
      <c r="N174" t="s">
        <v>284</v>
      </c>
      <c r="O174" t="s">
        <v>284</v>
      </c>
      <c r="P174" t="s">
        <v>284</v>
      </c>
      <c r="Q174" t="s">
        <v>284</v>
      </c>
    </row>
    <row r="175" spans="1:17" x14ac:dyDescent="0.2">
      <c r="A175" t="s">
        <v>414</v>
      </c>
      <c r="B175" t="s">
        <v>486</v>
      </c>
      <c r="C175" t="s">
        <v>230</v>
      </c>
      <c r="D175" t="s">
        <v>284</v>
      </c>
      <c r="E175" t="s">
        <v>284</v>
      </c>
      <c r="F175" t="s">
        <v>284</v>
      </c>
      <c r="G175" t="s">
        <v>284</v>
      </c>
      <c r="H175" t="s">
        <v>284</v>
      </c>
      <c r="I175" t="s">
        <v>500</v>
      </c>
      <c r="J175" t="s">
        <v>284</v>
      </c>
      <c r="K175">
        <v>9.0500000000000007</v>
      </c>
      <c r="L175">
        <v>245.6</v>
      </c>
      <c r="M175" t="s">
        <v>284</v>
      </c>
      <c r="N175" t="s">
        <v>284</v>
      </c>
      <c r="O175" t="s">
        <v>284</v>
      </c>
      <c r="P175" t="s">
        <v>284</v>
      </c>
      <c r="Q175" t="s">
        <v>284</v>
      </c>
    </row>
    <row r="176" spans="1:17" x14ac:dyDescent="0.2">
      <c r="A176" t="s">
        <v>414</v>
      </c>
      <c r="B176" t="s">
        <v>487</v>
      </c>
      <c r="C176" t="s">
        <v>230</v>
      </c>
      <c r="D176" t="s">
        <v>284</v>
      </c>
      <c r="E176" t="s">
        <v>284</v>
      </c>
      <c r="F176" t="s">
        <v>284</v>
      </c>
      <c r="G176" t="s">
        <v>284</v>
      </c>
      <c r="H176" t="s">
        <v>284</v>
      </c>
      <c r="I176" t="s">
        <v>284</v>
      </c>
      <c r="J176" t="s">
        <v>284</v>
      </c>
      <c r="K176">
        <v>12.1</v>
      </c>
      <c r="L176">
        <v>314</v>
      </c>
      <c r="M176" t="s">
        <v>284</v>
      </c>
      <c r="N176" t="s">
        <v>284</v>
      </c>
      <c r="O176" t="s">
        <v>284</v>
      </c>
      <c r="P176" t="s">
        <v>284</v>
      </c>
      <c r="Q176" t="s">
        <v>284</v>
      </c>
    </row>
    <row r="177" spans="1:17" x14ac:dyDescent="0.2">
      <c r="A177" t="s">
        <v>416</v>
      </c>
      <c r="B177" t="s">
        <v>488</v>
      </c>
      <c r="C177" t="s">
        <v>231</v>
      </c>
      <c r="D177" t="s">
        <v>284</v>
      </c>
      <c r="E177" t="s">
        <v>284</v>
      </c>
      <c r="F177" t="s">
        <v>284</v>
      </c>
      <c r="G177" t="s">
        <v>284</v>
      </c>
      <c r="H177" t="s">
        <v>284</v>
      </c>
      <c r="I177">
        <v>35.380000000000003</v>
      </c>
      <c r="J177">
        <v>3.31</v>
      </c>
      <c r="K177" t="s">
        <v>284</v>
      </c>
      <c r="L177">
        <v>279.93</v>
      </c>
      <c r="M177" t="s">
        <v>284</v>
      </c>
      <c r="N177" t="s">
        <v>284</v>
      </c>
      <c r="O177" t="s">
        <v>284</v>
      </c>
      <c r="P177" t="s">
        <v>284</v>
      </c>
      <c r="Q177" t="s">
        <v>284</v>
      </c>
    </row>
    <row r="178" spans="1:17" x14ac:dyDescent="0.2">
      <c r="A178" t="s">
        <v>416</v>
      </c>
      <c r="B178" t="s">
        <v>491</v>
      </c>
      <c r="C178" t="s">
        <v>231</v>
      </c>
      <c r="D178" t="s">
        <v>284</v>
      </c>
      <c r="E178" t="s">
        <v>284</v>
      </c>
      <c r="F178" t="s">
        <v>284</v>
      </c>
      <c r="G178" t="s">
        <v>284</v>
      </c>
      <c r="H178" t="s">
        <v>284</v>
      </c>
      <c r="I178">
        <v>16.93</v>
      </c>
      <c r="J178" t="s">
        <v>284</v>
      </c>
      <c r="K178" t="s">
        <v>284</v>
      </c>
      <c r="L178">
        <v>195.34</v>
      </c>
      <c r="M178" t="s">
        <v>284</v>
      </c>
      <c r="N178" t="s">
        <v>284</v>
      </c>
      <c r="O178" t="s">
        <v>284</v>
      </c>
      <c r="P178" t="s">
        <v>284</v>
      </c>
      <c r="Q178" t="s">
        <v>284</v>
      </c>
    </row>
    <row r="180" spans="1:17" x14ac:dyDescent="0.2">
      <c r="A180" t="s">
        <v>493</v>
      </c>
    </row>
    <row r="181" spans="1:17" x14ac:dyDescent="0.2">
      <c r="A181" t="s">
        <v>494</v>
      </c>
    </row>
    <row r="182" spans="1:17" x14ac:dyDescent="0.2">
      <c r="A182" t="s">
        <v>495</v>
      </c>
    </row>
    <row r="183" spans="1:17" x14ac:dyDescent="0.2">
      <c r="A183" t="s">
        <v>496</v>
      </c>
    </row>
    <row r="184" spans="1:17" x14ac:dyDescent="0.2">
      <c r="A184" t="s">
        <v>497</v>
      </c>
    </row>
    <row r="185" spans="1:17" x14ac:dyDescent="0.2">
      <c r="A185" t="s">
        <v>498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F3C8-BA44-3641-8954-763584CEFA3C}">
  <dimension ref="A1:Q185"/>
  <sheetViews>
    <sheetView workbookViewId="0">
      <selection activeCell="H31" sqref="H31"/>
    </sheetView>
  </sheetViews>
  <sheetFormatPr baseColWidth="10" defaultColWidth="8.83203125" defaultRowHeight="15" x14ac:dyDescent="0.2"/>
  <cols>
    <col min="1" max="1" width="5.33203125" bestFit="1" customWidth="1"/>
    <col min="2" max="2" width="8.1640625" bestFit="1" customWidth="1"/>
    <col min="3" max="3" width="11.1640625" bestFit="1" customWidth="1"/>
    <col min="4" max="9" width="13.6640625" bestFit="1" customWidth="1"/>
    <col min="10" max="10" width="14.33203125" bestFit="1" customWidth="1"/>
    <col min="11" max="13" width="13.6640625" bestFit="1" customWidth="1"/>
    <col min="14" max="14" width="16.5" bestFit="1" customWidth="1"/>
    <col min="15" max="16" width="13.6640625" bestFit="1" customWidth="1"/>
    <col min="17" max="17" width="15.5" bestFit="1" customWidth="1"/>
  </cols>
  <sheetData>
    <row r="1" spans="1:17" x14ac:dyDescent="0.2">
      <c r="A1" s="7" t="s">
        <v>524</v>
      </c>
    </row>
    <row r="2" spans="1:17" x14ac:dyDescent="0.2">
      <c r="A2" s="7" t="s">
        <v>523</v>
      </c>
    </row>
    <row r="3" spans="1:17" x14ac:dyDescent="0.2">
      <c r="A3" s="7" t="s">
        <v>234</v>
      </c>
    </row>
    <row r="4" spans="1:17" x14ac:dyDescent="0.2">
      <c r="A4" s="7" t="s">
        <v>235</v>
      </c>
    </row>
    <row r="5" spans="1:17" x14ac:dyDescent="0.2">
      <c r="A5" s="7" t="s">
        <v>236</v>
      </c>
    </row>
    <row r="6" spans="1:17" x14ac:dyDescent="0.2">
      <c r="A6" s="7" t="s">
        <v>237</v>
      </c>
    </row>
    <row r="7" spans="1:17" x14ac:dyDescent="0.2">
      <c r="A7" s="7" t="s">
        <v>238</v>
      </c>
    </row>
    <row r="9" spans="1:17" x14ac:dyDescent="0.2">
      <c r="A9" s="7"/>
      <c r="B9" s="7"/>
      <c r="C9" s="7"/>
      <c r="D9" s="7" t="s">
        <v>239</v>
      </c>
      <c r="E9" s="7" t="s">
        <v>240</v>
      </c>
      <c r="F9" s="7" t="s">
        <v>241</v>
      </c>
      <c r="G9" s="7" t="s">
        <v>242</v>
      </c>
      <c r="H9" s="7" t="s">
        <v>243</v>
      </c>
      <c r="I9" s="7" t="s">
        <v>244</v>
      </c>
      <c r="J9" s="7" t="s">
        <v>245</v>
      </c>
      <c r="K9" s="7" t="s">
        <v>246</v>
      </c>
      <c r="L9" s="7" t="s">
        <v>247</v>
      </c>
      <c r="M9" s="7" t="s">
        <v>248</v>
      </c>
      <c r="N9" s="7" t="s">
        <v>249</v>
      </c>
      <c r="O9" s="7" t="s">
        <v>250</v>
      </c>
      <c r="P9" s="7" t="s">
        <v>251</v>
      </c>
      <c r="Q9" s="7" t="s">
        <v>252</v>
      </c>
    </row>
    <row r="10" spans="1:17" x14ac:dyDescent="0.2">
      <c r="A10" s="7" t="s">
        <v>116</v>
      </c>
      <c r="B10" s="7" t="s">
        <v>253</v>
      </c>
      <c r="C10" s="7" t="s">
        <v>254</v>
      </c>
      <c r="D10" s="7" t="s">
        <v>499</v>
      </c>
      <c r="E10" s="7" t="s">
        <v>499</v>
      </c>
      <c r="F10" s="7" t="s">
        <v>499</v>
      </c>
      <c r="G10" s="7" t="s">
        <v>499</v>
      </c>
      <c r="H10" s="7" t="s">
        <v>499</v>
      </c>
      <c r="I10" s="7" t="s">
        <v>499</v>
      </c>
      <c r="J10" s="7" t="s">
        <v>499</v>
      </c>
      <c r="K10" s="7" t="s">
        <v>499</v>
      </c>
      <c r="L10" s="7" t="s">
        <v>499</v>
      </c>
      <c r="M10" s="7" t="s">
        <v>499</v>
      </c>
      <c r="N10" s="7" t="s">
        <v>499</v>
      </c>
      <c r="O10" s="7" t="s">
        <v>499</v>
      </c>
      <c r="P10" s="7" t="s">
        <v>499</v>
      </c>
      <c r="Q10" s="7" t="s">
        <v>499</v>
      </c>
    </row>
    <row r="11" spans="1:17" x14ac:dyDescent="0.2">
      <c r="A11" t="s">
        <v>256</v>
      </c>
      <c r="B11" t="s">
        <v>257</v>
      </c>
    </row>
    <row r="12" spans="1:17" x14ac:dyDescent="0.2">
      <c r="A12" t="s">
        <v>258</v>
      </c>
      <c r="B12" t="s">
        <v>259</v>
      </c>
      <c r="E12">
        <v>3.49</v>
      </c>
      <c r="H12">
        <v>15.32</v>
      </c>
      <c r="J12">
        <v>17.38</v>
      </c>
      <c r="K12">
        <v>4.46</v>
      </c>
      <c r="M12">
        <v>12.1</v>
      </c>
      <c r="N12">
        <v>5.94</v>
      </c>
      <c r="P12">
        <v>0.35</v>
      </c>
    </row>
    <row r="13" spans="1:17" x14ac:dyDescent="0.2">
      <c r="A13" t="s">
        <v>260</v>
      </c>
      <c r="B13" t="s">
        <v>261</v>
      </c>
      <c r="D13">
        <v>0</v>
      </c>
      <c r="E13">
        <v>9.52</v>
      </c>
      <c r="F13">
        <v>0</v>
      </c>
      <c r="G13">
        <v>0</v>
      </c>
      <c r="H13">
        <v>8.34</v>
      </c>
      <c r="I13">
        <v>0</v>
      </c>
      <c r="J13">
        <v>6.83</v>
      </c>
      <c r="K13">
        <v>2.71</v>
      </c>
      <c r="L13">
        <v>22.39</v>
      </c>
      <c r="M13">
        <v>13.62</v>
      </c>
      <c r="N13">
        <v>11.65</v>
      </c>
      <c r="P13">
        <v>8.33</v>
      </c>
      <c r="Q13">
        <v>0</v>
      </c>
    </row>
    <row r="14" spans="1:17" x14ac:dyDescent="0.2">
      <c r="A14" t="s">
        <v>262</v>
      </c>
      <c r="B14" t="s">
        <v>263</v>
      </c>
      <c r="D14">
        <v>6.47</v>
      </c>
      <c r="E14">
        <v>6.73</v>
      </c>
      <c r="F14">
        <v>5.69</v>
      </c>
      <c r="G14">
        <v>6.61</v>
      </c>
      <c r="H14">
        <v>1.71</v>
      </c>
      <c r="I14">
        <v>0</v>
      </c>
      <c r="J14">
        <v>1.24</v>
      </c>
      <c r="K14">
        <v>0.1</v>
      </c>
      <c r="L14">
        <v>7.41</v>
      </c>
      <c r="M14">
        <v>0.11</v>
      </c>
      <c r="N14">
        <v>4.6399999999999997</v>
      </c>
      <c r="O14">
        <v>0</v>
      </c>
      <c r="P14">
        <v>4.26</v>
      </c>
      <c r="Q14">
        <v>0</v>
      </c>
    </row>
    <row r="15" spans="1:17" x14ac:dyDescent="0.2">
      <c r="A15" t="s">
        <v>264</v>
      </c>
      <c r="B15" t="s">
        <v>265</v>
      </c>
      <c r="D15">
        <v>3.95</v>
      </c>
      <c r="E15">
        <v>3.9</v>
      </c>
      <c r="F15">
        <v>0.56999999999999995</v>
      </c>
      <c r="G15">
        <v>0.75</v>
      </c>
      <c r="H15">
        <v>5.79</v>
      </c>
      <c r="I15">
        <v>0.12</v>
      </c>
      <c r="J15">
        <v>2.34</v>
      </c>
      <c r="K15">
        <v>3.35</v>
      </c>
      <c r="L15">
        <v>3.04</v>
      </c>
      <c r="M15">
        <v>2.04</v>
      </c>
      <c r="N15">
        <v>1.37</v>
      </c>
      <c r="O15">
        <v>0.5</v>
      </c>
      <c r="P15">
        <v>2.86</v>
      </c>
      <c r="Q15">
        <v>3.7</v>
      </c>
    </row>
    <row r="16" spans="1:17" x14ac:dyDescent="0.2">
      <c r="A16" t="s">
        <v>266</v>
      </c>
      <c r="B16" t="s">
        <v>267</v>
      </c>
      <c r="D16">
        <v>1.41</v>
      </c>
      <c r="E16">
        <v>7.79</v>
      </c>
      <c r="F16">
        <v>4.46</v>
      </c>
      <c r="G16">
        <v>3.62</v>
      </c>
      <c r="H16">
        <v>0</v>
      </c>
      <c r="I16">
        <v>2.68</v>
      </c>
      <c r="J16">
        <v>5.99</v>
      </c>
      <c r="K16">
        <v>5.22</v>
      </c>
      <c r="L16">
        <v>18.05</v>
      </c>
      <c r="M16">
        <v>8.99</v>
      </c>
      <c r="N16">
        <v>7.25</v>
      </c>
      <c r="O16">
        <v>10.66</v>
      </c>
      <c r="P16">
        <v>7.63</v>
      </c>
      <c r="Q16">
        <v>11.41</v>
      </c>
    </row>
    <row r="17" spans="1:17" x14ac:dyDescent="0.2">
      <c r="A17" t="s">
        <v>268</v>
      </c>
      <c r="B17" t="s">
        <v>269</v>
      </c>
      <c r="D17">
        <v>16.02</v>
      </c>
      <c r="E17">
        <v>0</v>
      </c>
      <c r="F17">
        <v>4.0999999999999996</v>
      </c>
      <c r="G17">
        <v>2.16</v>
      </c>
      <c r="H17">
        <v>12.17</v>
      </c>
      <c r="I17">
        <v>0</v>
      </c>
      <c r="J17">
        <v>6.16</v>
      </c>
      <c r="K17">
        <v>5.75</v>
      </c>
      <c r="L17">
        <v>17.600000000000001</v>
      </c>
      <c r="M17">
        <v>1.55</v>
      </c>
      <c r="N17">
        <v>4.95</v>
      </c>
      <c r="O17">
        <v>0.68</v>
      </c>
      <c r="P17">
        <v>10.75</v>
      </c>
      <c r="Q17">
        <v>5.64</v>
      </c>
    </row>
    <row r="18" spans="1:17" x14ac:dyDescent="0.2">
      <c r="A18" t="s">
        <v>270</v>
      </c>
      <c r="B18" t="s">
        <v>271</v>
      </c>
      <c r="D18">
        <v>0</v>
      </c>
      <c r="F18">
        <v>0</v>
      </c>
      <c r="G18">
        <v>17.829999999999998</v>
      </c>
      <c r="H18">
        <v>0</v>
      </c>
      <c r="I18">
        <v>24.59</v>
      </c>
      <c r="J18">
        <v>22.83</v>
      </c>
      <c r="K18">
        <v>9.99</v>
      </c>
      <c r="L18">
        <v>0</v>
      </c>
      <c r="M18">
        <v>16.670000000000002</v>
      </c>
      <c r="N18">
        <v>0</v>
      </c>
      <c r="O18">
        <v>0</v>
      </c>
      <c r="P18">
        <v>11.24</v>
      </c>
      <c r="Q18">
        <v>0</v>
      </c>
    </row>
    <row r="19" spans="1:17" x14ac:dyDescent="0.2">
      <c r="A19" t="s">
        <v>272</v>
      </c>
      <c r="B19" t="s">
        <v>273</v>
      </c>
      <c r="G19">
        <v>0</v>
      </c>
      <c r="O19">
        <v>0</v>
      </c>
      <c r="P19">
        <v>0</v>
      </c>
    </row>
    <row r="20" spans="1:17" x14ac:dyDescent="0.2">
      <c r="A20" t="s">
        <v>274</v>
      </c>
      <c r="B20" t="s">
        <v>275</v>
      </c>
      <c r="C20" t="s">
        <v>260</v>
      </c>
      <c r="D20">
        <v>0.22</v>
      </c>
      <c r="E20">
        <v>0.56999999999999995</v>
      </c>
      <c r="F20">
        <v>8.27</v>
      </c>
      <c r="G20">
        <v>7.58</v>
      </c>
      <c r="H20">
        <v>1.52</v>
      </c>
      <c r="I20">
        <v>5.29</v>
      </c>
      <c r="J20">
        <v>4.8099999999999996</v>
      </c>
      <c r="K20">
        <v>2.54</v>
      </c>
      <c r="L20">
        <v>1.46</v>
      </c>
      <c r="M20">
        <v>4.66</v>
      </c>
      <c r="N20">
        <v>3.76</v>
      </c>
      <c r="O20">
        <v>8.86</v>
      </c>
      <c r="P20">
        <v>4.67</v>
      </c>
      <c r="Q20">
        <v>6.1</v>
      </c>
    </row>
    <row r="21" spans="1:17" x14ac:dyDescent="0.2">
      <c r="A21" t="s">
        <v>277</v>
      </c>
      <c r="B21" t="s">
        <v>278</v>
      </c>
      <c r="C21" t="s">
        <v>264</v>
      </c>
      <c r="D21">
        <v>1.1000000000000001</v>
      </c>
      <c r="E21">
        <v>0.34</v>
      </c>
      <c r="F21">
        <v>0.14000000000000001</v>
      </c>
      <c r="G21">
        <v>4.28</v>
      </c>
      <c r="H21">
        <v>4.6500000000000004</v>
      </c>
      <c r="I21">
        <v>1.47</v>
      </c>
      <c r="J21">
        <v>0.76</v>
      </c>
      <c r="K21">
        <v>0.79</v>
      </c>
      <c r="L21">
        <v>5.07</v>
      </c>
      <c r="M21">
        <v>10.4</v>
      </c>
      <c r="N21">
        <v>1.96</v>
      </c>
      <c r="O21">
        <v>0.51</v>
      </c>
      <c r="P21">
        <v>6.96</v>
      </c>
      <c r="Q21">
        <v>3.81</v>
      </c>
    </row>
    <row r="22" spans="1:17" x14ac:dyDescent="0.2">
      <c r="A22" t="s">
        <v>279</v>
      </c>
      <c r="B22" t="s">
        <v>280</v>
      </c>
      <c r="C22" t="s">
        <v>268</v>
      </c>
      <c r="D22">
        <v>11.88</v>
      </c>
      <c r="E22">
        <v>4.67</v>
      </c>
      <c r="F22">
        <v>2.09</v>
      </c>
      <c r="G22">
        <v>19.11</v>
      </c>
      <c r="H22">
        <v>8.06</v>
      </c>
      <c r="I22">
        <v>0</v>
      </c>
      <c r="J22">
        <v>9.67</v>
      </c>
      <c r="K22">
        <v>1.1299999999999999</v>
      </c>
      <c r="L22">
        <v>2.86</v>
      </c>
      <c r="M22">
        <v>2.36</v>
      </c>
      <c r="N22">
        <v>13.3</v>
      </c>
      <c r="O22">
        <v>10.19</v>
      </c>
      <c r="P22">
        <v>4.26</v>
      </c>
      <c r="Q22">
        <v>0</v>
      </c>
    </row>
    <row r="23" spans="1:17" x14ac:dyDescent="0.2">
      <c r="A23" t="s">
        <v>282</v>
      </c>
      <c r="B23" t="s">
        <v>283</v>
      </c>
      <c r="C23" t="s">
        <v>176</v>
      </c>
      <c r="I23">
        <v>5.79</v>
      </c>
      <c r="J23">
        <v>36.380000000000003</v>
      </c>
      <c r="K23">
        <v>0</v>
      </c>
      <c r="L23">
        <v>6.33</v>
      </c>
    </row>
    <row r="24" spans="1:17" x14ac:dyDescent="0.2">
      <c r="A24" t="s">
        <v>285</v>
      </c>
      <c r="B24" t="s">
        <v>286</v>
      </c>
      <c r="C24" t="s">
        <v>177</v>
      </c>
      <c r="I24">
        <v>15.42</v>
      </c>
      <c r="J24">
        <v>61.68</v>
      </c>
      <c r="L24">
        <v>5.5</v>
      </c>
    </row>
    <row r="25" spans="1:17" x14ac:dyDescent="0.2">
      <c r="A25" t="s">
        <v>288</v>
      </c>
      <c r="B25" t="s">
        <v>289</v>
      </c>
      <c r="C25" t="s">
        <v>178</v>
      </c>
      <c r="I25">
        <v>0</v>
      </c>
      <c r="J25">
        <v>40.590000000000003</v>
      </c>
      <c r="L25">
        <v>3.2</v>
      </c>
    </row>
    <row r="26" spans="1:17" x14ac:dyDescent="0.2">
      <c r="A26" t="s">
        <v>291</v>
      </c>
      <c r="B26" t="s">
        <v>292</v>
      </c>
      <c r="C26" t="s">
        <v>179</v>
      </c>
      <c r="I26">
        <v>1.9</v>
      </c>
      <c r="J26">
        <v>0.46</v>
      </c>
      <c r="K26">
        <v>45.16</v>
      </c>
      <c r="L26">
        <v>10.81</v>
      </c>
    </row>
    <row r="27" spans="1:17" x14ac:dyDescent="0.2">
      <c r="A27" t="s">
        <v>294</v>
      </c>
      <c r="B27" t="s">
        <v>295</v>
      </c>
      <c r="C27" t="s">
        <v>180</v>
      </c>
      <c r="I27">
        <v>28.47</v>
      </c>
      <c r="J27">
        <v>121.82</v>
      </c>
      <c r="L27">
        <v>4.6399999999999997</v>
      </c>
    </row>
    <row r="28" spans="1:17" x14ac:dyDescent="0.2">
      <c r="A28" t="s">
        <v>298</v>
      </c>
      <c r="B28" t="s">
        <v>299</v>
      </c>
      <c r="C28" t="s">
        <v>181</v>
      </c>
      <c r="I28">
        <v>9.25</v>
      </c>
      <c r="J28">
        <v>19.43</v>
      </c>
      <c r="K28">
        <v>11.62</v>
      </c>
      <c r="L28">
        <v>11.06</v>
      </c>
    </row>
    <row r="29" spans="1:17" x14ac:dyDescent="0.2">
      <c r="A29" t="s">
        <v>300</v>
      </c>
      <c r="B29" t="s">
        <v>301</v>
      </c>
      <c r="C29" t="s">
        <v>182</v>
      </c>
      <c r="I29">
        <v>13.77</v>
      </c>
      <c r="J29">
        <v>18.32</v>
      </c>
      <c r="K29">
        <v>11.45</v>
      </c>
      <c r="L29">
        <v>12.51</v>
      </c>
    </row>
    <row r="30" spans="1:17" x14ac:dyDescent="0.2">
      <c r="A30" t="s">
        <v>302</v>
      </c>
      <c r="B30" t="s">
        <v>303</v>
      </c>
      <c r="C30" t="s">
        <v>183</v>
      </c>
      <c r="I30">
        <v>22.29</v>
      </c>
      <c r="J30">
        <v>5.54</v>
      </c>
      <c r="L30">
        <v>3.72</v>
      </c>
    </row>
    <row r="31" spans="1:17" x14ac:dyDescent="0.2">
      <c r="A31" t="s">
        <v>305</v>
      </c>
      <c r="B31" t="s">
        <v>306</v>
      </c>
      <c r="C31" t="s">
        <v>184</v>
      </c>
      <c r="I31">
        <v>0</v>
      </c>
      <c r="J31">
        <v>0</v>
      </c>
      <c r="L31">
        <v>0</v>
      </c>
    </row>
    <row r="32" spans="1:17" x14ac:dyDescent="0.2">
      <c r="A32" t="s">
        <v>307</v>
      </c>
      <c r="B32" t="s">
        <v>308</v>
      </c>
      <c r="C32" t="s">
        <v>185</v>
      </c>
      <c r="I32">
        <v>0</v>
      </c>
      <c r="J32">
        <v>0</v>
      </c>
      <c r="L32">
        <v>0</v>
      </c>
    </row>
    <row r="33" spans="1:12" x14ac:dyDescent="0.2">
      <c r="A33" t="s">
        <v>309</v>
      </c>
      <c r="B33" t="s">
        <v>310</v>
      </c>
      <c r="C33" t="s">
        <v>186</v>
      </c>
      <c r="H33">
        <v>0</v>
      </c>
      <c r="I33">
        <v>0</v>
      </c>
      <c r="J33">
        <v>0</v>
      </c>
      <c r="L33">
        <v>0</v>
      </c>
    </row>
    <row r="34" spans="1:12" x14ac:dyDescent="0.2">
      <c r="A34" t="s">
        <v>312</v>
      </c>
      <c r="B34" t="s">
        <v>313</v>
      </c>
      <c r="C34" t="s">
        <v>187</v>
      </c>
      <c r="I34">
        <v>0</v>
      </c>
      <c r="J34">
        <v>0</v>
      </c>
      <c r="L34">
        <v>0</v>
      </c>
    </row>
    <row r="35" spans="1:12" x14ac:dyDescent="0.2">
      <c r="A35" t="s">
        <v>315</v>
      </c>
      <c r="B35" t="s">
        <v>316</v>
      </c>
      <c r="C35" t="s">
        <v>188</v>
      </c>
      <c r="J35">
        <v>0</v>
      </c>
      <c r="K35">
        <v>0</v>
      </c>
      <c r="L35">
        <v>0</v>
      </c>
    </row>
    <row r="36" spans="1:12" x14ac:dyDescent="0.2">
      <c r="A36" t="s">
        <v>317</v>
      </c>
      <c r="B36" t="s">
        <v>318</v>
      </c>
      <c r="C36" t="s">
        <v>189</v>
      </c>
      <c r="I36">
        <v>0</v>
      </c>
      <c r="J36">
        <v>0</v>
      </c>
      <c r="L36">
        <v>0</v>
      </c>
    </row>
    <row r="37" spans="1:12" x14ac:dyDescent="0.2">
      <c r="A37" t="s">
        <v>319</v>
      </c>
      <c r="B37" t="s">
        <v>320</v>
      </c>
      <c r="C37" t="s">
        <v>190</v>
      </c>
      <c r="J37">
        <v>0</v>
      </c>
      <c r="L37">
        <v>0</v>
      </c>
    </row>
    <row r="38" spans="1:12" x14ac:dyDescent="0.2">
      <c r="A38" t="s">
        <v>321</v>
      </c>
      <c r="B38" t="s">
        <v>322</v>
      </c>
      <c r="C38" t="s">
        <v>191</v>
      </c>
      <c r="I38">
        <v>0</v>
      </c>
      <c r="J38">
        <v>0</v>
      </c>
      <c r="K38">
        <v>0</v>
      </c>
      <c r="L38">
        <v>0</v>
      </c>
    </row>
    <row r="39" spans="1:12" x14ac:dyDescent="0.2">
      <c r="A39" t="s">
        <v>323</v>
      </c>
      <c r="B39" t="s">
        <v>324</v>
      </c>
      <c r="C39" t="s">
        <v>192</v>
      </c>
      <c r="I39">
        <v>0</v>
      </c>
      <c r="J39">
        <v>0</v>
      </c>
      <c r="L39">
        <v>0</v>
      </c>
    </row>
    <row r="40" spans="1:12" x14ac:dyDescent="0.2">
      <c r="A40" t="s">
        <v>325</v>
      </c>
      <c r="B40" t="s">
        <v>326</v>
      </c>
      <c r="C40" t="s">
        <v>193</v>
      </c>
      <c r="I40">
        <v>0</v>
      </c>
      <c r="J40">
        <v>0</v>
      </c>
      <c r="L40">
        <v>0</v>
      </c>
    </row>
    <row r="41" spans="1:12" x14ac:dyDescent="0.2">
      <c r="A41" t="s">
        <v>327</v>
      </c>
      <c r="B41" t="s">
        <v>328</v>
      </c>
      <c r="C41" t="s">
        <v>194</v>
      </c>
      <c r="I41">
        <v>0</v>
      </c>
      <c r="L41">
        <v>0</v>
      </c>
    </row>
    <row r="42" spans="1:12" x14ac:dyDescent="0.2">
      <c r="A42" t="s">
        <v>329</v>
      </c>
      <c r="B42" t="s">
        <v>330</v>
      </c>
      <c r="C42" t="s">
        <v>195</v>
      </c>
      <c r="I42">
        <v>0</v>
      </c>
      <c r="J42">
        <v>0</v>
      </c>
      <c r="K42">
        <v>0</v>
      </c>
      <c r="L42">
        <v>0</v>
      </c>
    </row>
    <row r="43" spans="1:12" x14ac:dyDescent="0.2">
      <c r="A43" t="s">
        <v>331</v>
      </c>
      <c r="B43" t="s">
        <v>332</v>
      </c>
      <c r="C43" t="s">
        <v>196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334</v>
      </c>
      <c r="B44" t="s">
        <v>335</v>
      </c>
      <c r="C44" t="s">
        <v>197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336</v>
      </c>
      <c r="B45" t="s">
        <v>337</v>
      </c>
      <c r="C45" t="s">
        <v>198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339</v>
      </c>
      <c r="B46" t="s">
        <v>340</v>
      </c>
      <c r="C46" t="s">
        <v>199</v>
      </c>
      <c r="I46">
        <v>0</v>
      </c>
      <c r="J46">
        <v>0</v>
      </c>
      <c r="L46">
        <v>0</v>
      </c>
    </row>
    <row r="47" spans="1:12" x14ac:dyDescent="0.2">
      <c r="A47" t="s">
        <v>342</v>
      </c>
      <c r="B47" t="s">
        <v>343</v>
      </c>
      <c r="C47" t="s">
        <v>200</v>
      </c>
      <c r="I47">
        <v>0</v>
      </c>
      <c r="J47">
        <v>0</v>
      </c>
      <c r="L47">
        <v>0</v>
      </c>
    </row>
    <row r="48" spans="1:12" x14ac:dyDescent="0.2">
      <c r="A48" t="s">
        <v>344</v>
      </c>
      <c r="B48" t="s">
        <v>345</v>
      </c>
      <c r="C48" t="s">
        <v>201</v>
      </c>
      <c r="I48">
        <v>0</v>
      </c>
      <c r="J48">
        <v>0</v>
      </c>
      <c r="K48">
        <v>0</v>
      </c>
      <c r="L48">
        <v>0</v>
      </c>
    </row>
    <row r="49" spans="1:16" x14ac:dyDescent="0.2">
      <c r="A49" t="s">
        <v>346</v>
      </c>
      <c r="B49" t="s">
        <v>347</v>
      </c>
      <c r="C49" t="s">
        <v>202</v>
      </c>
      <c r="I49">
        <v>0</v>
      </c>
      <c r="J49">
        <v>0</v>
      </c>
      <c r="L49">
        <v>0</v>
      </c>
    </row>
    <row r="50" spans="1:16" x14ac:dyDescent="0.2">
      <c r="A50" t="s">
        <v>348</v>
      </c>
      <c r="B50" t="s">
        <v>349</v>
      </c>
      <c r="C50" t="s">
        <v>203</v>
      </c>
      <c r="I50">
        <v>0</v>
      </c>
      <c r="J50">
        <v>0</v>
      </c>
      <c r="L50">
        <v>0</v>
      </c>
      <c r="P50">
        <v>0</v>
      </c>
    </row>
    <row r="51" spans="1:16" x14ac:dyDescent="0.2">
      <c r="A51" t="s">
        <v>351</v>
      </c>
      <c r="B51" t="s">
        <v>352</v>
      </c>
      <c r="C51" t="s">
        <v>204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6" x14ac:dyDescent="0.2">
      <c r="A52" t="s">
        <v>353</v>
      </c>
      <c r="B52" t="s">
        <v>354</v>
      </c>
      <c r="C52" t="s">
        <v>205</v>
      </c>
      <c r="I52">
        <v>0</v>
      </c>
      <c r="J52">
        <v>0</v>
      </c>
      <c r="K52">
        <v>0</v>
      </c>
      <c r="L52">
        <v>0</v>
      </c>
    </row>
    <row r="53" spans="1:16" x14ac:dyDescent="0.2">
      <c r="A53" t="s">
        <v>356</v>
      </c>
      <c r="B53" t="s">
        <v>357</v>
      </c>
      <c r="C53" t="s">
        <v>206</v>
      </c>
      <c r="J53">
        <v>0</v>
      </c>
      <c r="K53">
        <v>0</v>
      </c>
      <c r="L53">
        <v>0</v>
      </c>
    </row>
    <row r="54" spans="1:16" x14ac:dyDescent="0.2">
      <c r="A54" t="s">
        <v>358</v>
      </c>
      <c r="B54" t="s">
        <v>359</v>
      </c>
      <c r="C54" t="s">
        <v>207</v>
      </c>
      <c r="I54">
        <v>0</v>
      </c>
      <c r="J54">
        <v>0</v>
      </c>
      <c r="K54">
        <v>0</v>
      </c>
      <c r="L54">
        <v>0</v>
      </c>
    </row>
    <row r="55" spans="1:16" x14ac:dyDescent="0.2">
      <c r="A55" t="s">
        <v>360</v>
      </c>
      <c r="B55" t="s">
        <v>361</v>
      </c>
      <c r="C55" t="s">
        <v>208</v>
      </c>
      <c r="I55">
        <v>0</v>
      </c>
      <c r="J55">
        <v>0</v>
      </c>
      <c r="L55">
        <v>0</v>
      </c>
    </row>
    <row r="56" spans="1:16" x14ac:dyDescent="0.2">
      <c r="A56" t="s">
        <v>362</v>
      </c>
      <c r="B56" t="s">
        <v>363</v>
      </c>
      <c r="C56" t="s">
        <v>209</v>
      </c>
      <c r="I56">
        <v>0</v>
      </c>
      <c r="J56">
        <v>0</v>
      </c>
      <c r="K56">
        <v>0</v>
      </c>
      <c r="L56">
        <v>0</v>
      </c>
    </row>
    <row r="57" spans="1:16" x14ac:dyDescent="0.2">
      <c r="A57" t="s">
        <v>364</v>
      </c>
      <c r="B57" t="s">
        <v>365</v>
      </c>
      <c r="C57" t="s">
        <v>210</v>
      </c>
      <c r="I57">
        <v>0</v>
      </c>
      <c r="J57">
        <v>0</v>
      </c>
      <c r="K57">
        <v>0</v>
      </c>
      <c r="L57">
        <v>0</v>
      </c>
    </row>
    <row r="58" spans="1:16" x14ac:dyDescent="0.2">
      <c r="A58" t="s">
        <v>366</v>
      </c>
      <c r="B58" t="s">
        <v>367</v>
      </c>
      <c r="C58" t="s">
        <v>211</v>
      </c>
      <c r="I58">
        <v>0</v>
      </c>
      <c r="J58">
        <v>0</v>
      </c>
      <c r="L58">
        <v>0</v>
      </c>
    </row>
    <row r="59" spans="1:16" x14ac:dyDescent="0.2">
      <c r="A59" t="s">
        <v>369</v>
      </c>
      <c r="B59" t="s">
        <v>370</v>
      </c>
      <c r="C59" t="s">
        <v>212</v>
      </c>
      <c r="I59">
        <v>0</v>
      </c>
      <c r="J59">
        <v>0</v>
      </c>
      <c r="L59">
        <v>0</v>
      </c>
    </row>
    <row r="60" spans="1:16" x14ac:dyDescent="0.2">
      <c r="A60" t="s">
        <v>371</v>
      </c>
      <c r="B60" t="s">
        <v>372</v>
      </c>
      <c r="C60" t="s">
        <v>213</v>
      </c>
      <c r="J60">
        <v>0</v>
      </c>
      <c r="L60">
        <v>0</v>
      </c>
    </row>
    <row r="61" spans="1:16" x14ac:dyDescent="0.2">
      <c r="A61" t="s">
        <v>374</v>
      </c>
      <c r="B61" t="s">
        <v>375</v>
      </c>
      <c r="C61" t="s">
        <v>214</v>
      </c>
      <c r="I61">
        <v>0</v>
      </c>
      <c r="J61">
        <v>0</v>
      </c>
      <c r="K61">
        <v>0</v>
      </c>
      <c r="L61">
        <v>0</v>
      </c>
    </row>
    <row r="62" spans="1:16" x14ac:dyDescent="0.2">
      <c r="A62" t="s">
        <v>377</v>
      </c>
      <c r="B62" t="s">
        <v>378</v>
      </c>
      <c r="C62" t="s">
        <v>215</v>
      </c>
      <c r="H62">
        <v>0</v>
      </c>
      <c r="I62">
        <v>0</v>
      </c>
      <c r="J62">
        <v>0</v>
      </c>
      <c r="L62">
        <v>0</v>
      </c>
    </row>
    <row r="63" spans="1:16" x14ac:dyDescent="0.2">
      <c r="A63" t="s">
        <v>379</v>
      </c>
      <c r="B63" t="s">
        <v>380</v>
      </c>
      <c r="C63" t="s">
        <v>216</v>
      </c>
      <c r="I63">
        <v>0</v>
      </c>
      <c r="J63">
        <v>0</v>
      </c>
      <c r="L63">
        <v>0</v>
      </c>
    </row>
    <row r="64" spans="1:16" x14ac:dyDescent="0.2">
      <c r="A64" t="s">
        <v>381</v>
      </c>
      <c r="B64" t="s">
        <v>382</v>
      </c>
      <c r="C64" t="s">
        <v>217</v>
      </c>
      <c r="I64">
        <v>0</v>
      </c>
      <c r="J64">
        <v>0</v>
      </c>
      <c r="K64">
        <v>0</v>
      </c>
      <c r="L64">
        <v>0</v>
      </c>
    </row>
    <row r="65" spans="1:12" x14ac:dyDescent="0.2">
      <c r="A65" t="s">
        <v>383</v>
      </c>
      <c r="B65" t="s">
        <v>384</v>
      </c>
      <c r="C65" t="s">
        <v>218</v>
      </c>
      <c r="I65">
        <v>0</v>
      </c>
      <c r="J65">
        <v>0</v>
      </c>
      <c r="L65">
        <v>0</v>
      </c>
    </row>
    <row r="66" spans="1:12" x14ac:dyDescent="0.2">
      <c r="A66" t="s">
        <v>386</v>
      </c>
      <c r="B66" t="s">
        <v>387</v>
      </c>
      <c r="C66" t="s">
        <v>219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388</v>
      </c>
      <c r="B67" t="s">
        <v>389</v>
      </c>
      <c r="C67" t="s">
        <v>220</v>
      </c>
      <c r="I67">
        <v>0</v>
      </c>
      <c r="L67">
        <v>0</v>
      </c>
    </row>
    <row r="68" spans="1:12" x14ac:dyDescent="0.2">
      <c r="A68" t="s">
        <v>391</v>
      </c>
      <c r="B68" t="s">
        <v>392</v>
      </c>
      <c r="C68" t="s">
        <v>221</v>
      </c>
      <c r="I68">
        <v>0</v>
      </c>
      <c r="J68">
        <v>0</v>
      </c>
      <c r="L68">
        <v>0</v>
      </c>
    </row>
    <row r="69" spans="1:12" x14ac:dyDescent="0.2">
      <c r="A69" t="s">
        <v>394</v>
      </c>
      <c r="B69" t="s">
        <v>395</v>
      </c>
      <c r="C69" t="s">
        <v>222</v>
      </c>
      <c r="I69">
        <v>0</v>
      </c>
      <c r="J69">
        <v>0</v>
      </c>
      <c r="K69">
        <v>0</v>
      </c>
      <c r="L69">
        <v>0</v>
      </c>
    </row>
    <row r="70" spans="1:12" x14ac:dyDescent="0.2">
      <c r="A70" t="s">
        <v>396</v>
      </c>
      <c r="B70" t="s">
        <v>397</v>
      </c>
      <c r="C70" t="s">
        <v>223</v>
      </c>
      <c r="I70">
        <v>0</v>
      </c>
      <c r="J70">
        <v>0</v>
      </c>
      <c r="L70">
        <v>0</v>
      </c>
    </row>
    <row r="71" spans="1:12" x14ac:dyDescent="0.2">
      <c r="A71" t="s">
        <v>399</v>
      </c>
      <c r="B71" t="s">
        <v>400</v>
      </c>
      <c r="C71" t="s">
        <v>224</v>
      </c>
      <c r="I71">
        <v>67.83</v>
      </c>
      <c r="J71">
        <v>0</v>
      </c>
      <c r="L71">
        <v>16.39</v>
      </c>
    </row>
    <row r="72" spans="1:12" x14ac:dyDescent="0.2">
      <c r="A72" t="s">
        <v>403</v>
      </c>
      <c r="B72" t="s">
        <v>404</v>
      </c>
      <c r="C72" t="s">
        <v>225</v>
      </c>
      <c r="I72">
        <v>1.78</v>
      </c>
      <c r="J72">
        <v>8.51</v>
      </c>
      <c r="K72">
        <v>8.93</v>
      </c>
      <c r="L72">
        <v>15.57</v>
      </c>
    </row>
    <row r="73" spans="1:12" x14ac:dyDescent="0.2">
      <c r="A73" t="s">
        <v>406</v>
      </c>
      <c r="B73" t="s">
        <v>407</v>
      </c>
      <c r="C73" t="s">
        <v>226</v>
      </c>
      <c r="I73">
        <v>29.45</v>
      </c>
      <c r="J73">
        <v>9.41</v>
      </c>
      <c r="K73">
        <v>13.24</v>
      </c>
      <c r="L73">
        <v>14.05</v>
      </c>
    </row>
    <row r="74" spans="1:12" x14ac:dyDescent="0.2">
      <c r="A74" t="s">
        <v>408</v>
      </c>
      <c r="B74" t="s">
        <v>409</v>
      </c>
      <c r="C74" t="s">
        <v>227</v>
      </c>
      <c r="I74">
        <v>7.07</v>
      </c>
      <c r="J74">
        <v>18.38</v>
      </c>
      <c r="K74">
        <v>31.31</v>
      </c>
      <c r="L74">
        <v>1.72</v>
      </c>
    </row>
    <row r="75" spans="1:12" x14ac:dyDescent="0.2">
      <c r="A75" t="s">
        <v>410</v>
      </c>
      <c r="B75" t="s">
        <v>411</v>
      </c>
      <c r="C75" t="s">
        <v>228</v>
      </c>
      <c r="I75">
        <v>137.51</v>
      </c>
      <c r="L75">
        <v>4.66</v>
      </c>
    </row>
    <row r="76" spans="1:12" x14ac:dyDescent="0.2">
      <c r="A76" t="s">
        <v>412</v>
      </c>
      <c r="B76" t="s">
        <v>413</v>
      </c>
      <c r="C76" t="s">
        <v>229</v>
      </c>
      <c r="L76">
        <v>8.89</v>
      </c>
    </row>
    <row r="77" spans="1:12" x14ac:dyDescent="0.2">
      <c r="A77" t="s">
        <v>414</v>
      </c>
      <c r="B77" t="s">
        <v>415</v>
      </c>
      <c r="C77" t="s">
        <v>230</v>
      </c>
      <c r="I77">
        <v>0</v>
      </c>
      <c r="K77">
        <v>20.36</v>
      </c>
      <c r="L77">
        <v>17.29</v>
      </c>
    </row>
    <row r="78" spans="1:12" x14ac:dyDescent="0.2">
      <c r="A78" t="s">
        <v>416</v>
      </c>
      <c r="B78" t="s">
        <v>417</v>
      </c>
      <c r="C78" t="s">
        <v>231</v>
      </c>
      <c r="I78">
        <v>49.88</v>
      </c>
      <c r="J78">
        <v>0</v>
      </c>
      <c r="L78">
        <v>25.17</v>
      </c>
    </row>
    <row r="81" spans="1:17" x14ac:dyDescent="0.2">
      <c r="A81" s="7"/>
      <c r="B81" s="7"/>
      <c r="C81" s="7"/>
      <c r="D81" s="7" t="s">
        <v>239</v>
      </c>
      <c r="E81" s="7" t="s">
        <v>240</v>
      </c>
      <c r="F81" s="7" t="s">
        <v>241</v>
      </c>
      <c r="G81" s="7" t="s">
        <v>242</v>
      </c>
      <c r="H81" s="7" t="s">
        <v>243</v>
      </c>
      <c r="I81" s="7" t="s">
        <v>244</v>
      </c>
      <c r="J81" s="7" t="s">
        <v>245</v>
      </c>
      <c r="K81" s="7" t="s">
        <v>246</v>
      </c>
      <c r="L81" s="7" t="s">
        <v>247</v>
      </c>
      <c r="M81" s="7" t="s">
        <v>248</v>
      </c>
      <c r="N81" s="7" t="s">
        <v>249</v>
      </c>
      <c r="O81" s="7" t="s">
        <v>250</v>
      </c>
      <c r="P81" s="7" t="s">
        <v>251</v>
      </c>
      <c r="Q81" s="7" t="s">
        <v>252</v>
      </c>
    </row>
    <row r="82" spans="1:17" x14ac:dyDescent="0.2">
      <c r="A82" s="7" t="s">
        <v>116</v>
      </c>
      <c r="B82" s="7" t="s">
        <v>253</v>
      </c>
      <c r="C82" s="7" t="s">
        <v>254</v>
      </c>
      <c r="D82" s="7" t="s">
        <v>499</v>
      </c>
      <c r="E82" s="7" t="s">
        <v>499</v>
      </c>
      <c r="F82" s="7" t="s">
        <v>499</v>
      </c>
      <c r="G82" s="7" t="s">
        <v>499</v>
      </c>
      <c r="H82" s="7" t="s">
        <v>499</v>
      </c>
      <c r="I82" s="7" t="s">
        <v>499</v>
      </c>
      <c r="J82" s="7" t="s">
        <v>499</v>
      </c>
      <c r="K82" s="7" t="s">
        <v>499</v>
      </c>
      <c r="L82" s="7" t="s">
        <v>499</v>
      </c>
      <c r="M82" s="7" t="s">
        <v>499</v>
      </c>
      <c r="N82" s="7" t="s">
        <v>499</v>
      </c>
      <c r="O82" s="7" t="s">
        <v>499</v>
      </c>
      <c r="P82" s="7" t="s">
        <v>499</v>
      </c>
      <c r="Q82" s="7" t="s">
        <v>499</v>
      </c>
    </row>
    <row r="83" spans="1:17" x14ac:dyDescent="0.2">
      <c r="A83" t="s">
        <v>256</v>
      </c>
      <c r="B83" t="s">
        <v>419</v>
      </c>
    </row>
    <row r="84" spans="1:17" x14ac:dyDescent="0.2">
      <c r="A84" t="s">
        <v>256</v>
      </c>
      <c r="B84" t="s">
        <v>420</v>
      </c>
    </row>
    <row r="85" spans="1:17" x14ac:dyDescent="0.2">
      <c r="A85" t="s">
        <v>258</v>
      </c>
      <c r="B85" t="s">
        <v>421</v>
      </c>
    </row>
    <row r="86" spans="1:17" x14ac:dyDescent="0.2">
      <c r="A86" t="s">
        <v>258</v>
      </c>
      <c r="B86" t="s">
        <v>422</v>
      </c>
    </row>
    <row r="87" spans="1:17" x14ac:dyDescent="0.2">
      <c r="A87" t="s">
        <v>260</v>
      </c>
      <c r="B87" t="s">
        <v>274</v>
      </c>
    </row>
    <row r="88" spans="1:17" x14ac:dyDescent="0.2">
      <c r="A88" t="s">
        <v>260</v>
      </c>
      <c r="B88" t="s">
        <v>428</v>
      </c>
    </row>
    <row r="89" spans="1:17" x14ac:dyDescent="0.2">
      <c r="A89" t="s">
        <v>262</v>
      </c>
      <c r="B89" t="s">
        <v>433</v>
      </c>
    </row>
    <row r="90" spans="1:17" x14ac:dyDescent="0.2">
      <c r="A90" t="s">
        <v>262</v>
      </c>
      <c r="B90" t="s">
        <v>435</v>
      </c>
    </row>
    <row r="91" spans="1:17" x14ac:dyDescent="0.2">
      <c r="A91" t="s">
        <v>264</v>
      </c>
      <c r="B91" t="s">
        <v>436</v>
      </c>
    </row>
    <row r="92" spans="1:17" x14ac:dyDescent="0.2">
      <c r="A92" t="s">
        <v>264</v>
      </c>
      <c r="B92" t="s">
        <v>437</v>
      </c>
    </row>
    <row r="93" spans="1:17" x14ac:dyDescent="0.2">
      <c r="A93" t="s">
        <v>266</v>
      </c>
      <c r="B93" t="s">
        <v>438</v>
      </c>
    </row>
    <row r="94" spans="1:17" x14ac:dyDescent="0.2">
      <c r="A94" t="s">
        <v>266</v>
      </c>
      <c r="B94" t="s">
        <v>439</v>
      </c>
    </row>
    <row r="95" spans="1:17" x14ac:dyDescent="0.2">
      <c r="A95" t="s">
        <v>268</v>
      </c>
      <c r="B95" t="s">
        <v>277</v>
      </c>
    </row>
    <row r="96" spans="1:17" x14ac:dyDescent="0.2">
      <c r="A96" t="s">
        <v>268</v>
      </c>
      <c r="B96" t="s">
        <v>440</v>
      </c>
    </row>
    <row r="97" spans="1:3" x14ac:dyDescent="0.2">
      <c r="A97" t="s">
        <v>270</v>
      </c>
      <c r="B97" t="s">
        <v>441</v>
      </c>
    </row>
    <row r="98" spans="1:3" x14ac:dyDescent="0.2">
      <c r="A98" t="s">
        <v>270</v>
      </c>
      <c r="B98" t="s">
        <v>444</v>
      </c>
    </row>
    <row r="99" spans="1:3" x14ac:dyDescent="0.2">
      <c r="A99" t="s">
        <v>272</v>
      </c>
      <c r="B99" t="s">
        <v>445</v>
      </c>
    </row>
    <row r="100" spans="1:3" x14ac:dyDescent="0.2">
      <c r="A100" t="s">
        <v>272</v>
      </c>
      <c r="B100" t="s">
        <v>447</v>
      </c>
    </row>
    <row r="101" spans="1:3" x14ac:dyDescent="0.2">
      <c r="A101" t="s">
        <v>274</v>
      </c>
      <c r="B101" t="s">
        <v>279</v>
      </c>
      <c r="C101" t="s">
        <v>260</v>
      </c>
    </row>
    <row r="102" spans="1:3" x14ac:dyDescent="0.2">
      <c r="A102" t="s">
        <v>274</v>
      </c>
      <c r="B102" t="s">
        <v>449</v>
      </c>
      <c r="C102" t="s">
        <v>260</v>
      </c>
    </row>
    <row r="103" spans="1:3" x14ac:dyDescent="0.2">
      <c r="A103" t="s">
        <v>277</v>
      </c>
      <c r="B103" t="s">
        <v>451</v>
      </c>
      <c r="C103" t="s">
        <v>264</v>
      </c>
    </row>
    <row r="104" spans="1:3" x14ac:dyDescent="0.2">
      <c r="A104" t="s">
        <v>277</v>
      </c>
      <c r="B104" t="s">
        <v>452</v>
      </c>
      <c r="C104" t="s">
        <v>264</v>
      </c>
    </row>
    <row r="105" spans="1:3" x14ac:dyDescent="0.2">
      <c r="A105" t="s">
        <v>279</v>
      </c>
      <c r="B105" t="s">
        <v>453</v>
      </c>
      <c r="C105" t="s">
        <v>268</v>
      </c>
    </row>
    <row r="106" spans="1:3" x14ac:dyDescent="0.2">
      <c r="A106" t="s">
        <v>279</v>
      </c>
      <c r="B106" t="s">
        <v>454</v>
      </c>
      <c r="C106" t="s">
        <v>268</v>
      </c>
    </row>
    <row r="107" spans="1:3" x14ac:dyDescent="0.2">
      <c r="A107" t="s">
        <v>282</v>
      </c>
      <c r="B107" t="s">
        <v>455</v>
      </c>
      <c r="C107" t="s">
        <v>176</v>
      </c>
    </row>
    <row r="108" spans="1:3" x14ac:dyDescent="0.2">
      <c r="A108" t="s">
        <v>282</v>
      </c>
      <c r="B108" t="s">
        <v>456</v>
      </c>
      <c r="C108" t="s">
        <v>176</v>
      </c>
    </row>
    <row r="109" spans="1:3" x14ac:dyDescent="0.2">
      <c r="A109" t="s">
        <v>285</v>
      </c>
      <c r="B109" t="s">
        <v>457</v>
      </c>
      <c r="C109" t="s">
        <v>177</v>
      </c>
    </row>
    <row r="110" spans="1:3" x14ac:dyDescent="0.2">
      <c r="A110" t="s">
        <v>285</v>
      </c>
      <c r="B110" t="s">
        <v>458</v>
      </c>
      <c r="C110" t="s">
        <v>177</v>
      </c>
    </row>
    <row r="111" spans="1:3" x14ac:dyDescent="0.2">
      <c r="A111" t="s">
        <v>288</v>
      </c>
      <c r="B111" t="s">
        <v>459</v>
      </c>
      <c r="C111" t="s">
        <v>178</v>
      </c>
    </row>
    <row r="112" spans="1:3" x14ac:dyDescent="0.2">
      <c r="A112" t="s">
        <v>288</v>
      </c>
      <c r="B112" t="s">
        <v>460</v>
      </c>
      <c r="C112" t="s">
        <v>178</v>
      </c>
    </row>
    <row r="113" spans="1:3" x14ac:dyDescent="0.2">
      <c r="A113" t="s">
        <v>291</v>
      </c>
      <c r="B113" t="s">
        <v>461</v>
      </c>
      <c r="C113" t="s">
        <v>179</v>
      </c>
    </row>
    <row r="114" spans="1:3" x14ac:dyDescent="0.2">
      <c r="A114" t="s">
        <v>291</v>
      </c>
      <c r="B114" t="s">
        <v>462</v>
      </c>
      <c r="C114" t="s">
        <v>179</v>
      </c>
    </row>
    <row r="115" spans="1:3" x14ac:dyDescent="0.2">
      <c r="A115" t="s">
        <v>294</v>
      </c>
      <c r="B115" t="s">
        <v>463</v>
      </c>
      <c r="C115" t="s">
        <v>180</v>
      </c>
    </row>
    <row r="116" spans="1:3" x14ac:dyDescent="0.2">
      <c r="A116" t="s">
        <v>294</v>
      </c>
      <c r="B116" t="s">
        <v>464</v>
      </c>
      <c r="C116" t="s">
        <v>180</v>
      </c>
    </row>
    <row r="117" spans="1:3" x14ac:dyDescent="0.2">
      <c r="A117" t="s">
        <v>298</v>
      </c>
      <c r="B117" t="s">
        <v>465</v>
      </c>
      <c r="C117" t="s">
        <v>181</v>
      </c>
    </row>
    <row r="118" spans="1:3" x14ac:dyDescent="0.2">
      <c r="A118" t="s">
        <v>298</v>
      </c>
      <c r="B118" t="s">
        <v>466</v>
      </c>
      <c r="C118" t="s">
        <v>181</v>
      </c>
    </row>
    <row r="119" spans="1:3" x14ac:dyDescent="0.2">
      <c r="A119" t="s">
        <v>300</v>
      </c>
      <c r="B119" t="s">
        <v>467</v>
      </c>
      <c r="C119" t="s">
        <v>182</v>
      </c>
    </row>
    <row r="120" spans="1:3" x14ac:dyDescent="0.2">
      <c r="A120" t="s">
        <v>300</v>
      </c>
      <c r="B120" t="s">
        <v>468</v>
      </c>
      <c r="C120" t="s">
        <v>182</v>
      </c>
    </row>
    <row r="121" spans="1:3" x14ac:dyDescent="0.2">
      <c r="A121" t="s">
        <v>302</v>
      </c>
      <c r="B121" t="s">
        <v>469</v>
      </c>
      <c r="C121" t="s">
        <v>183</v>
      </c>
    </row>
    <row r="122" spans="1:3" x14ac:dyDescent="0.2">
      <c r="A122" t="s">
        <v>302</v>
      </c>
      <c r="B122" t="s">
        <v>470</v>
      </c>
      <c r="C122" t="s">
        <v>183</v>
      </c>
    </row>
    <row r="123" spans="1:3" x14ac:dyDescent="0.2">
      <c r="A123" t="s">
        <v>305</v>
      </c>
      <c r="B123" t="s">
        <v>306</v>
      </c>
      <c r="C123" t="s">
        <v>184</v>
      </c>
    </row>
    <row r="124" spans="1:3" x14ac:dyDescent="0.2">
      <c r="A124" t="s">
        <v>307</v>
      </c>
      <c r="B124" t="s">
        <v>308</v>
      </c>
      <c r="C124" t="s">
        <v>185</v>
      </c>
    </row>
    <row r="125" spans="1:3" x14ac:dyDescent="0.2">
      <c r="A125" t="s">
        <v>309</v>
      </c>
      <c r="B125" t="s">
        <v>310</v>
      </c>
      <c r="C125" t="s">
        <v>186</v>
      </c>
    </row>
    <row r="126" spans="1:3" x14ac:dyDescent="0.2">
      <c r="A126" t="s">
        <v>312</v>
      </c>
      <c r="B126" t="s">
        <v>313</v>
      </c>
      <c r="C126" t="s">
        <v>187</v>
      </c>
    </row>
    <row r="127" spans="1:3" x14ac:dyDescent="0.2">
      <c r="A127" t="s">
        <v>315</v>
      </c>
      <c r="B127" t="s">
        <v>316</v>
      </c>
      <c r="C127" t="s">
        <v>188</v>
      </c>
    </row>
    <row r="128" spans="1:3" x14ac:dyDescent="0.2">
      <c r="A128" t="s">
        <v>317</v>
      </c>
      <c r="B128" t="s">
        <v>318</v>
      </c>
      <c r="C128" t="s">
        <v>189</v>
      </c>
    </row>
    <row r="129" spans="1:3" x14ac:dyDescent="0.2">
      <c r="A129" t="s">
        <v>319</v>
      </c>
      <c r="B129" t="s">
        <v>320</v>
      </c>
      <c r="C129" t="s">
        <v>190</v>
      </c>
    </row>
    <row r="130" spans="1:3" x14ac:dyDescent="0.2">
      <c r="A130" t="s">
        <v>321</v>
      </c>
      <c r="B130" t="s">
        <v>322</v>
      </c>
      <c r="C130" t="s">
        <v>191</v>
      </c>
    </row>
    <row r="131" spans="1:3" x14ac:dyDescent="0.2">
      <c r="A131" t="s">
        <v>323</v>
      </c>
      <c r="B131" t="s">
        <v>324</v>
      </c>
      <c r="C131" t="s">
        <v>192</v>
      </c>
    </row>
    <row r="132" spans="1:3" x14ac:dyDescent="0.2">
      <c r="A132" t="s">
        <v>325</v>
      </c>
      <c r="B132" t="s">
        <v>326</v>
      </c>
      <c r="C132" t="s">
        <v>193</v>
      </c>
    </row>
    <row r="133" spans="1:3" x14ac:dyDescent="0.2">
      <c r="A133" t="s">
        <v>327</v>
      </c>
      <c r="B133" t="s">
        <v>328</v>
      </c>
      <c r="C133" t="s">
        <v>194</v>
      </c>
    </row>
    <row r="134" spans="1:3" x14ac:dyDescent="0.2">
      <c r="A134" t="s">
        <v>329</v>
      </c>
      <c r="B134" t="s">
        <v>330</v>
      </c>
      <c r="C134" t="s">
        <v>195</v>
      </c>
    </row>
    <row r="135" spans="1:3" x14ac:dyDescent="0.2">
      <c r="A135" t="s">
        <v>331</v>
      </c>
      <c r="B135" t="s">
        <v>332</v>
      </c>
      <c r="C135" t="s">
        <v>196</v>
      </c>
    </row>
    <row r="136" spans="1:3" x14ac:dyDescent="0.2">
      <c r="A136" t="s">
        <v>334</v>
      </c>
      <c r="B136" t="s">
        <v>335</v>
      </c>
      <c r="C136" t="s">
        <v>197</v>
      </c>
    </row>
    <row r="137" spans="1:3" x14ac:dyDescent="0.2">
      <c r="A137" t="s">
        <v>336</v>
      </c>
      <c r="B137" t="s">
        <v>337</v>
      </c>
      <c r="C137" t="s">
        <v>198</v>
      </c>
    </row>
    <row r="138" spans="1:3" x14ac:dyDescent="0.2">
      <c r="A138" t="s">
        <v>339</v>
      </c>
      <c r="B138" t="s">
        <v>340</v>
      </c>
      <c r="C138" t="s">
        <v>199</v>
      </c>
    </row>
    <row r="139" spans="1:3" x14ac:dyDescent="0.2">
      <c r="A139" t="s">
        <v>342</v>
      </c>
      <c r="B139" t="s">
        <v>343</v>
      </c>
      <c r="C139" t="s">
        <v>200</v>
      </c>
    </row>
    <row r="140" spans="1:3" x14ac:dyDescent="0.2">
      <c r="A140" t="s">
        <v>344</v>
      </c>
      <c r="B140" t="s">
        <v>345</v>
      </c>
      <c r="C140" t="s">
        <v>201</v>
      </c>
    </row>
    <row r="141" spans="1:3" x14ac:dyDescent="0.2">
      <c r="A141" t="s">
        <v>346</v>
      </c>
      <c r="B141" t="s">
        <v>347</v>
      </c>
      <c r="C141" t="s">
        <v>202</v>
      </c>
    </row>
    <row r="142" spans="1:3" x14ac:dyDescent="0.2">
      <c r="A142" t="s">
        <v>348</v>
      </c>
      <c r="B142" t="s">
        <v>349</v>
      </c>
      <c r="C142" t="s">
        <v>203</v>
      </c>
    </row>
    <row r="143" spans="1:3" x14ac:dyDescent="0.2">
      <c r="A143" t="s">
        <v>351</v>
      </c>
      <c r="B143" t="s">
        <v>352</v>
      </c>
      <c r="C143" t="s">
        <v>204</v>
      </c>
    </row>
    <row r="144" spans="1:3" x14ac:dyDescent="0.2">
      <c r="A144" t="s">
        <v>353</v>
      </c>
      <c r="B144" t="s">
        <v>354</v>
      </c>
      <c r="C144" t="s">
        <v>205</v>
      </c>
    </row>
    <row r="145" spans="1:3" x14ac:dyDescent="0.2">
      <c r="A145" t="s">
        <v>356</v>
      </c>
      <c r="B145" t="s">
        <v>357</v>
      </c>
      <c r="C145" t="s">
        <v>206</v>
      </c>
    </row>
    <row r="146" spans="1:3" x14ac:dyDescent="0.2">
      <c r="A146" t="s">
        <v>358</v>
      </c>
      <c r="B146" t="s">
        <v>359</v>
      </c>
      <c r="C146" t="s">
        <v>207</v>
      </c>
    </row>
    <row r="147" spans="1:3" x14ac:dyDescent="0.2">
      <c r="A147" t="s">
        <v>360</v>
      </c>
      <c r="B147" t="s">
        <v>361</v>
      </c>
      <c r="C147" t="s">
        <v>208</v>
      </c>
    </row>
    <row r="148" spans="1:3" x14ac:dyDescent="0.2">
      <c r="A148" t="s">
        <v>362</v>
      </c>
      <c r="B148" t="s">
        <v>363</v>
      </c>
      <c r="C148" t="s">
        <v>209</v>
      </c>
    </row>
    <row r="149" spans="1:3" x14ac:dyDescent="0.2">
      <c r="A149" t="s">
        <v>364</v>
      </c>
      <c r="B149" t="s">
        <v>365</v>
      </c>
      <c r="C149" t="s">
        <v>210</v>
      </c>
    </row>
    <row r="150" spans="1:3" x14ac:dyDescent="0.2">
      <c r="A150" t="s">
        <v>366</v>
      </c>
      <c r="B150" t="s">
        <v>367</v>
      </c>
      <c r="C150" t="s">
        <v>211</v>
      </c>
    </row>
    <row r="151" spans="1:3" x14ac:dyDescent="0.2">
      <c r="A151" t="s">
        <v>369</v>
      </c>
      <c r="B151" t="s">
        <v>370</v>
      </c>
      <c r="C151" t="s">
        <v>212</v>
      </c>
    </row>
    <row r="152" spans="1:3" x14ac:dyDescent="0.2">
      <c r="A152" t="s">
        <v>371</v>
      </c>
      <c r="B152" t="s">
        <v>372</v>
      </c>
      <c r="C152" t="s">
        <v>213</v>
      </c>
    </row>
    <row r="153" spans="1:3" x14ac:dyDescent="0.2">
      <c r="A153" t="s">
        <v>374</v>
      </c>
      <c r="B153" t="s">
        <v>375</v>
      </c>
      <c r="C153" t="s">
        <v>214</v>
      </c>
    </row>
    <row r="154" spans="1:3" x14ac:dyDescent="0.2">
      <c r="A154" t="s">
        <v>377</v>
      </c>
      <c r="B154" t="s">
        <v>378</v>
      </c>
      <c r="C154" t="s">
        <v>215</v>
      </c>
    </row>
    <row r="155" spans="1:3" x14ac:dyDescent="0.2">
      <c r="A155" t="s">
        <v>379</v>
      </c>
      <c r="B155" t="s">
        <v>380</v>
      </c>
      <c r="C155" t="s">
        <v>216</v>
      </c>
    </row>
    <row r="156" spans="1:3" x14ac:dyDescent="0.2">
      <c r="A156" t="s">
        <v>381</v>
      </c>
      <c r="B156" t="s">
        <v>382</v>
      </c>
      <c r="C156" t="s">
        <v>217</v>
      </c>
    </row>
    <row r="157" spans="1:3" x14ac:dyDescent="0.2">
      <c r="A157" t="s">
        <v>383</v>
      </c>
      <c r="B157" t="s">
        <v>384</v>
      </c>
      <c r="C157" t="s">
        <v>218</v>
      </c>
    </row>
    <row r="158" spans="1:3" x14ac:dyDescent="0.2">
      <c r="A158" t="s">
        <v>386</v>
      </c>
      <c r="B158" t="s">
        <v>387</v>
      </c>
      <c r="C158" t="s">
        <v>219</v>
      </c>
    </row>
    <row r="159" spans="1:3" x14ac:dyDescent="0.2">
      <c r="A159" t="s">
        <v>388</v>
      </c>
      <c r="B159" t="s">
        <v>389</v>
      </c>
      <c r="C159" t="s">
        <v>220</v>
      </c>
    </row>
    <row r="160" spans="1:3" x14ac:dyDescent="0.2">
      <c r="A160" t="s">
        <v>391</v>
      </c>
      <c r="B160" t="s">
        <v>392</v>
      </c>
      <c r="C160" t="s">
        <v>221</v>
      </c>
    </row>
    <row r="161" spans="1:3" x14ac:dyDescent="0.2">
      <c r="A161" t="s">
        <v>394</v>
      </c>
      <c r="B161" t="s">
        <v>395</v>
      </c>
      <c r="C161" t="s">
        <v>222</v>
      </c>
    </row>
    <row r="162" spans="1:3" x14ac:dyDescent="0.2">
      <c r="A162" t="s">
        <v>396</v>
      </c>
      <c r="B162" t="s">
        <v>397</v>
      </c>
      <c r="C162" t="s">
        <v>223</v>
      </c>
    </row>
    <row r="163" spans="1:3" x14ac:dyDescent="0.2">
      <c r="A163" t="s">
        <v>399</v>
      </c>
      <c r="B163" t="s">
        <v>472</v>
      </c>
      <c r="C163" t="s">
        <v>224</v>
      </c>
    </row>
    <row r="164" spans="1:3" x14ac:dyDescent="0.2">
      <c r="A164" t="s">
        <v>399</v>
      </c>
      <c r="B164" t="s">
        <v>473</v>
      </c>
      <c r="C164" t="s">
        <v>224</v>
      </c>
    </row>
    <row r="165" spans="1:3" x14ac:dyDescent="0.2">
      <c r="A165" t="s">
        <v>403</v>
      </c>
      <c r="B165" t="s">
        <v>474</v>
      </c>
      <c r="C165" t="s">
        <v>225</v>
      </c>
    </row>
    <row r="166" spans="1:3" x14ac:dyDescent="0.2">
      <c r="A166" t="s">
        <v>403</v>
      </c>
      <c r="B166" t="s">
        <v>475</v>
      </c>
      <c r="C166" t="s">
        <v>225</v>
      </c>
    </row>
    <row r="167" spans="1:3" x14ac:dyDescent="0.2">
      <c r="A167" t="s">
        <v>406</v>
      </c>
      <c r="B167" t="s">
        <v>476</v>
      </c>
      <c r="C167" t="s">
        <v>226</v>
      </c>
    </row>
    <row r="168" spans="1:3" x14ac:dyDescent="0.2">
      <c r="A168" t="s">
        <v>406</v>
      </c>
      <c r="B168" t="s">
        <v>478</v>
      </c>
      <c r="C168" t="s">
        <v>226</v>
      </c>
    </row>
    <row r="169" spans="1:3" x14ac:dyDescent="0.2">
      <c r="A169" t="s">
        <v>408</v>
      </c>
      <c r="B169" t="s">
        <v>479</v>
      </c>
      <c r="C169" t="s">
        <v>227</v>
      </c>
    </row>
    <row r="170" spans="1:3" x14ac:dyDescent="0.2">
      <c r="A170" t="s">
        <v>408</v>
      </c>
      <c r="B170" t="s">
        <v>480</v>
      </c>
      <c r="C170" t="s">
        <v>227</v>
      </c>
    </row>
    <row r="171" spans="1:3" x14ac:dyDescent="0.2">
      <c r="A171" t="s">
        <v>410</v>
      </c>
      <c r="B171" t="s">
        <v>481</v>
      </c>
      <c r="C171" t="s">
        <v>228</v>
      </c>
    </row>
    <row r="172" spans="1:3" x14ac:dyDescent="0.2">
      <c r="A172" t="s">
        <v>410</v>
      </c>
      <c r="B172" t="s">
        <v>482</v>
      </c>
      <c r="C172" t="s">
        <v>228</v>
      </c>
    </row>
    <row r="173" spans="1:3" x14ac:dyDescent="0.2">
      <c r="A173" t="s">
        <v>412</v>
      </c>
      <c r="B173" t="s">
        <v>484</v>
      </c>
      <c r="C173" t="s">
        <v>229</v>
      </c>
    </row>
    <row r="174" spans="1:3" x14ac:dyDescent="0.2">
      <c r="A174" t="s">
        <v>412</v>
      </c>
      <c r="B174" t="s">
        <v>485</v>
      </c>
      <c r="C174" t="s">
        <v>229</v>
      </c>
    </row>
    <row r="175" spans="1:3" x14ac:dyDescent="0.2">
      <c r="A175" t="s">
        <v>414</v>
      </c>
      <c r="B175" t="s">
        <v>486</v>
      </c>
      <c r="C175" t="s">
        <v>230</v>
      </c>
    </row>
    <row r="176" spans="1:3" x14ac:dyDescent="0.2">
      <c r="A176" t="s">
        <v>414</v>
      </c>
      <c r="B176" t="s">
        <v>487</v>
      </c>
      <c r="C176" t="s">
        <v>230</v>
      </c>
    </row>
    <row r="177" spans="1:3" x14ac:dyDescent="0.2">
      <c r="A177" t="s">
        <v>416</v>
      </c>
      <c r="B177" t="s">
        <v>488</v>
      </c>
      <c r="C177" t="s">
        <v>231</v>
      </c>
    </row>
    <row r="178" spans="1:3" x14ac:dyDescent="0.2">
      <c r="A178" t="s">
        <v>416</v>
      </c>
      <c r="B178" t="s">
        <v>491</v>
      </c>
      <c r="C178" t="s">
        <v>231</v>
      </c>
    </row>
    <row r="180" spans="1:3" x14ac:dyDescent="0.2">
      <c r="A180" t="s">
        <v>493</v>
      </c>
    </row>
    <row r="181" spans="1:3" x14ac:dyDescent="0.2">
      <c r="A181" t="s">
        <v>494</v>
      </c>
    </row>
    <row r="182" spans="1:3" x14ac:dyDescent="0.2">
      <c r="A182" t="s">
        <v>495</v>
      </c>
    </row>
    <row r="183" spans="1:3" x14ac:dyDescent="0.2">
      <c r="A183" t="s">
        <v>496</v>
      </c>
    </row>
    <row r="184" spans="1:3" x14ac:dyDescent="0.2">
      <c r="A184" t="s">
        <v>497</v>
      </c>
    </row>
    <row r="185" spans="1:3" x14ac:dyDescent="0.2">
      <c r="A185" t="s">
        <v>498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E91A-8379-BA42-8602-A1D00C6E45C2}">
  <sheetPr>
    <tabColor rgb="FFFF0000"/>
  </sheetPr>
  <dimension ref="A1:AG113"/>
  <sheetViews>
    <sheetView workbookViewId="0">
      <pane xSplit="4" ySplit="1" topLeftCell="E2" activePane="bottomRight" state="frozenSplit"/>
      <selection pane="topRight" activeCell="O1" sqref="O1"/>
      <selection pane="bottomLeft" activeCell="A18" sqref="A18"/>
      <selection pane="bottomRight" activeCell="H109" sqref="H109"/>
    </sheetView>
  </sheetViews>
  <sheetFormatPr baseColWidth="10" defaultRowHeight="15" x14ac:dyDescent="0.2"/>
  <cols>
    <col min="1" max="1" width="9.5" customWidth="1"/>
    <col min="2" max="2" width="6.6640625" style="1" customWidth="1"/>
    <col min="3" max="3" width="19.6640625" customWidth="1"/>
    <col min="4" max="4" width="6.33203125" customWidth="1"/>
    <col min="5" max="5" width="8" customWidth="1"/>
    <col min="6" max="17" width="7.83203125" style="8" customWidth="1"/>
    <col min="18" max="18" width="10.5" style="8" customWidth="1"/>
    <col min="19" max="19" width="9.33203125" style="8" customWidth="1"/>
    <col min="20" max="23" width="7.83203125" style="8" customWidth="1"/>
    <col min="24" max="24" width="8.5" style="8" customWidth="1"/>
    <col min="25" max="25" width="7.83203125" style="8" customWidth="1"/>
    <col min="26" max="26" width="14" style="8" customWidth="1"/>
    <col min="27" max="27" width="11.6640625" style="8" customWidth="1"/>
    <col min="28" max="31" width="7.83203125" style="8" customWidth="1"/>
    <col min="32" max="32" width="11.33203125" style="8" customWidth="1"/>
  </cols>
  <sheetData>
    <row r="1" spans="1:33" ht="36" customHeight="1" thickBot="1" x14ac:dyDescent="0.25">
      <c r="A1" s="4" t="s">
        <v>119</v>
      </c>
      <c r="B1" s="5" t="s">
        <v>118</v>
      </c>
      <c r="C1" s="4" t="s">
        <v>117</v>
      </c>
      <c r="D1" s="32" t="s">
        <v>593</v>
      </c>
      <c r="E1" s="9" t="s">
        <v>116</v>
      </c>
      <c r="F1" s="29" t="s">
        <v>526</v>
      </c>
      <c r="G1" s="30" t="s">
        <v>525</v>
      </c>
      <c r="H1" s="27" t="s">
        <v>527</v>
      </c>
      <c r="I1" s="28" t="s">
        <v>539</v>
      </c>
      <c r="J1" s="29" t="s">
        <v>528</v>
      </c>
      <c r="K1" s="30" t="s">
        <v>541</v>
      </c>
      <c r="L1" s="27" t="s">
        <v>529</v>
      </c>
      <c r="M1" s="28" t="s">
        <v>542</v>
      </c>
      <c r="N1" s="29" t="s">
        <v>530</v>
      </c>
      <c r="O1" s="30" t="s">
        <v>543</v>
      </c>
      <c r="P1" s="31" t="s">
        <v>531</v>
      </c>
      <c r="Q1" s="28" t="s">
        <v>544</v>
      </c>
      <c r="R1" s="29" t="s">
        <v>540</v>
      </c>
      <c r="S1" s="30" t="s">
        <v>545</v>
      </c>
      <c r="T1" s="27" t="s">
        <v>532</v>
      </c>
      <c r="U1" s="28" t="s">
        <v>546</v>
      </c>
      <c r="V1" s="29" t="s">
        <v>533</v>
      </c>
      <c r="W1" s="30" t="s">
        <v>547</v>
      </c>
      <c r="X1" s="27" t="s">
        <v>534</v>
      </c>
      <c r="Y1" s="28" t="s">
        <v>548</v>
      </c>
      <c r="Z1" s="29" t="s">
        <v>535</v>
      </c>
      <c r="AA1" s="30" t="s">
        <v>549</v>
      </c>
      <c r="AB1" s="27" t="s">
        <v>536</v>
      </c>
      <c r="AC1" s="28" t="s">
        <v>550</v>
      </c>
      <c r="AD1" s="29" t="s">
        <v>537</v>
      </c>
      <c r="AE1" s="30" t="s">
        <v>551</v>
      </c>
      <c r="AF1" s="27" t="s">
        <v>538</v>
      </c>
      <c r="AG1" s="28" t="s">
        <v>552</v>
      </c>
    </row>
    <row r="2" spans="1:33" x14ac:dyDescent="0.2">
      <c r="A2" s="2" t="s">
        <v>3</v>
      </c>
      <c r="B2" s="3" t="s">
        <v>35</v>
      </c>
      <c r="C2" s="2" t="s">
        <v>115</v>
      </c>
      <c r="D2" s="6" t="s">
        <v>120</v>
      </c>
      <c r="E2" s="12" t="s">
        <v>0</v>
      </c>
      <c r="F2" s="14" t="s">
        <v>587</v>
      </c>
      <c r="G2" s="15">
        <v>0</v>
      </c>
      <c r="H2" s="14" t="s">
        <v>284</v>
      </c>
      <c r="I2" s="15">
        <v>0</v>
      </c>
      <c r="J2" s="14" t="s">
        <v>284</v>
      </c>
      <c r="K2" s="15">
        <v>0</v>
      </c>
      <c r="L2" s="14" t="s">
        <v>284</v>
      </c>
      <c r="M2" s="15">
        <v>0</v>
      </c>
      <c r="N2" s="14" t="s">
        <v>588</v>
      </c>
      <c r="O2" s="15">
        <v>0</v>
      </c>
      <c r="P2" s="14">
        <v>25.35</v>
      </c>
      <c r="Q2" s="15">
        <v>8.07</v>
      </c>
      <c r="R2" s="14">
        <v>9.83</v>
      </c>
      <c r="S2" s="15">
        <v>15.32</v>
      </c>
      <c r="T2" s="14" t="s">
        <v>591</v>
      </c>
      <c r="U2" s="15">
        <v>0</v>
      </c>
      <c r="V2" s="14">
        <v>405.42</v>
      </c>
      <c r="W2" s="15">
        <v>15.5</v>
      </c>
      <c r="X2" s="14" t="s">
        <v>284</v>
      </c>
      <c r="Y2" s="15">
        <v>0</v>
      </c>
      <c r="Z2" s="14" t="s">
        <v>592</v>
      </c>
      <c r="AA2" s="15">
        <v>0</v>
      </c>
      <c r="AB2" s="14" t="s">
        <v>284</v>
      </c>
      <c r="AC2" s="15">
        <v>0</v>
      </c>
      <c r="AD2" s="14" t="s">
        <v>284</v>
      </c>
      <c r="AE2" s="15">
        <v>0</v>
      </c>
      <c r="AF2" s="14" t="s">
        <v>284</v>
      </c>
      <c r="AG2" s="15">
        <v>0</v>
      </c>
    </row>
    <row r="3" spans="1:33" x14ac:dyDescent="0.2">
      <c r="A3" s="2" t="s">
        <v>3</v>
      </c>
      <c r="B3" s="3" t="s">
        <v>35</v>
      </c>
      <c r="C3" s="2" t="s">
        <v>114</v>
      </c>
      <c r="D3" s="6" t="s">
        <v>121</v>
      </c>
      <c r="E3" s="12" t="s">
        <v>0</v>
      </c>
      <c r="F3" s="14" t="s">
        <v>587</v>
      </c>
      <c r="G3" s="15">
        <v>0</v>
      </c>
      <c r="H3" s="14" t="s">
        <v>284</v>
      </c>
      <c r="I3" s="15">
        <v>0</v>
      </c>
      <c r="J3" s="14" t="s">
        <v>284</v>
      </c>
      <c r="K3" s="15">
        <v>0</v>
      </c>
      <c r="L3" s="14" t="s">
        <v>284</v>
      </c>
      <c r="M3" s="15">
        <v>0</v>
      </c>
      <c r="N3" s="14" t="s">
        <v>553</v>
      </c>
      <c r="O3" s="15">
        <v>73.599999999999994</v>
      </c>
      <c r="P3" s="14">
        <v>47.13</v>
      </c>
      <c r="Q3" s="15">
        <v>9.01</v>
      </c>
      <c r="R3" s="14">
        <v>3.29</v>
      </c>
      <c r="S3" s="15">
        <v>7.48</v>
      </c>
      <c r="T3" s="14" t="s">
        <v>591</v>
      </c>
      <c r="U3" s="15">
        <v>0</v>
      </c>
      <c r="V3" s="14">
        <v>313.33999999999997</v>
      </c>
      <c r="W3" s="15">
        <v>0.64</v>
      </c>
      <c r="X3" s="14" t="s">
        <v>284</v>
      </c>
      <c r="Y3" s="15">
        <v>0</v>
      </c>
      <c r="Z3" s="14" t="s">
        <v>592</v>
      </c>
      <c r="AA3" s="15">
        <v>0</v>
      </c>
      <c r="AB3" s="14" t="s">
        <v>284</v>
      </c>
      <c r="AC3" s="15">
        <v>0</v>
      </c>
      <c r="AD3" s="14" t="s">
        <v>284</v>
      </c>
      <c r="AE3" s="15">
        <v>0</v>
      </c>
      <c r="AF3" s="14" t="s">
        <v>284</v>
      </c>
      <c r="AG3" s="15">
        <v>0</v>
      </c>
    </row>
    <row r="4" spans="1:33" x14ac:dyDescent="0.2">
      <c r="A4" s="2" t="s">
        <v>3</v>
      </c>
      <c r="B4" s="3" t="s">
        <v>35</v>
      </c>
      <c r="C4" s="2" t="s">
        <v>113</v>
      </c>
      <c r="D4" s="6" t="s">
        <v>122</v>
      </c>
      <c r="E4" s="12" t="s">
        <v>0</v>
      </c>
      <c r="F4" s="14" t="s">
        <v>587</v>
      </c>
      <c r="G4" s="15">
        <v>0</v>
      </c>
      <c r="H4" s="14" t="s">
        <v>284</v>
      </c>
      <c r="I4" s="15">
        <v>0</v>
      </c>
      <c r="J4" s="14" t="s">
        <v>284</v>
      </c>
      <c r="K4" s="15">
        <v>0</v>
      </c>
      <c r="L4" s="14" t="s">
        <v>284</v>
      </c>
      <c r="M4" s="15">
        <v>0</v>
      </c>
      <c r="N4" s="14" t="s">
        <v>554</v>
      </c>
      <c r="O4" s="15">
        <v>0</v>
      </c>
      <c r="P4" s="14">
        <v>53.41</v>
      </c>
      <c r="Q4" s="24">
        <v>26.14</v>
      </c>
      <c r="R4" s="23">
        <v>3.47</v>
      </c>
      <c r="S4" s="24">
        <v>31.95</v>
      </c>
      <c r="T4" s="14" t="s">
        <v>591</v>
      </c>
      <c r="U4" s="15">
        <v>0</v>
      </c>
      <c r="V4" s="14">
        <v>379.9</v>
      </c>
      <c r="W4" s="15">
        <v>19.7</v>
      </c>
      <c r="X4" s="14" t="s">
        <v>284</v>
      </c>
      <c r="Y4" s="15">
        <v>0</v>
      </c>
      <c r="Z4" s="14" t="s">
        <v>592</v>
      </c>
      <c r="AA4" s="15">
        <v>0</v>
      </c>
      <c r="AB4" s="14" t="s">
        <v>284</v>
      </c>
      <c r="AC4" s="15">
        <v>0</v>
      </c>
      <c r="AD4" s="14" t="s">
        <v>284</v>
      </c>
      <c r="AE4" s="15">
        <v>0</v>
      </c>
      <c r="AF4" s="14" t="s">
        <v>284</v>
      </c>
      <c r="AG4" s="15">
        <v>0</v>
      </c>
    </row>
    <row r="5" spans="1:33" x14ac:dyDescent="0.2">
      <c r="A5" s="2" t="s">
        <v>3</v>
      </c>
      <c r="B5" s="3" t="s">
        <v>35</v>
      </c>
      <c r="C5" s="2" t="s">
        <v>112</v>
      </c>
      <c r="D5" s="6" t="s">
        <v>123</v>
      </c>
      <c r="E5" s="12" t="s">
        <v>0</v>
      </c>
      <c r="F5" s="14" t="s">
        <v>587</v>
      </c>
      <c r="G5" s="15">
        <v>0</v>
      </c>
      <c r="H5" s="14" t="s">
        <v>284</v>
      </c>
      <c r="I5" s="15">
        <v>0</v>
      </c>
      <c r="J5" s="14" t="s">
        <v>284</v>
      </c>
      <c r="K5" s="15">
        <v>0</v>
      </c>
      <c r="L5" s="14" t="s">
        <v>284</v>
      </c>
      <c r="M5" s="15">
        <v>0</v>
      </c>
      <c r="N5" s="14" t="s">
        <v>555</v>
      </c>
      <c r="O5" s="15">
        <v>0</v>
      </c>
      <c r="P5" s="14">
        <v>416.67</v>
      </c>
      <c r="Q5" s="15">
        <v>5.37</v>
      </c>
      <c r="R5" s="14">
        <v>87.29</v>
      </c>
      <c r="S5" s="15">
        <v>1.37</v>
      </c>
      <c r="T5" s="14">
        <v>105.86</v>
      </c>
      <c r="U5" s="15">
        <v>4.04</v>
      </c>
      <c r="V5" s="14">
        <v>660.73</v>
      </c>
      <c r="W5" s="15">
        <v>4.57</v>
      </c>
      <c r="X5" s="14" t="s">
        <v>284</v>
      </c>
      <c r="Y5" s="15">
        <v>0</v>
      </c>
      <c r="Z5" s="14" t="s">
        <v>592</v>
      </c>
      <c r="AA5" s="15">
        <v>0</v>
      </c>
      <c r="AB5" s="14" t="s">
        <v>284</v>
      </c>
      <c r="AC5" s="15">
        <v>0</v>
      </c>
      <c r="AD5" s="14" t="s">
        <v>284</v>
      </c>
      <c r="AE5" s="15">
        <v>0</v>
      </c>
      <c r="AF5" s="14" t="s">
        <v>284</v>
      </c>
      <c r="AG5" s="15">
        <v>0</v>
      </c>
    </row>
    <row r="6" spans="1:33" x14ac:dyDescent="0.2">
      <c r="A6" s="2" t="s">
        <v>3</v>
      </c>
      <c r="B6" s="3" t="s">
        <v>35</v>
      </c>
      <c r="C6" s="2" t="s">
        <v>111</v>
      </c>
      <c r="D6" s="6" t="s">
        <v>124</v>
      </c>
      <c r="E6" s="12" t="s">
        <v>0</v>
      </c>
      <c r="F6" s="14" t="s">
        <v>587</v>
      </c>
      <c r="G6" s="15">
        <v>0</v>
      </c>
      <c r="H6" s="14" t="s">
        <v>284</v>
      </c>
      <c r="I6" s="15">
        <v>0</v>
      </c>
      <c r="J6" s="14" t="s">
        <v>284</v>
      </c>
      <c r="K6" s="15">
        <v>0</v>
      </c>
      <c r="L6" s="14" t="s">
        <v>284</v>
      </c>
      <c r="M6" s="15">
        <v>0</v>
      </c>
      <c r="N6" s="14" t="s">
        <v>556</v>
      </c>
      <c r="O6" s="15">
        <v>0</v>
      </c>
      <c r="P6" s="14">
        <v>50.78</v>
      </c>
      <c r="Q6" s="15">
        <v>1.84</v>
      </c>
      <c r="R6" s="14">
        <v>18.75</v>
      </c>
      <c r="S6" s="15">
        <v>12.99</v>
      </c>
      <c r="T6" s="14" t="s">
        <v>557</v>
      </c>
      <c r="U6" s="15">
        <v>11.84</v>
      </c>
      <c r="V6" s="14">
        <v>580.6</v>
      </c>
      <c r="W6" s="15">
        <v>9.1199999999999992</v>
      </c>
      <c r="X6" s="14" t="s">
        <v>284</v>
      </c>
      <c r="Y6" s="15">
        <v>0</v>
      </c>
      <c r="Z6" s="14" t="s">
        <v>592</v>
      </c>
      <c r="AA6" s="15">
        <v>0</v>
      </c>
      <c r="AB6" s="14" t="s">
        <v>284</v>
      </c>
      <c r="AC6" s="15">
        <v>0</v>
      </c>
      <c r="AD6" s="14" t="s">
        <v>284</v>
      </c>
      <c r="AE6" s="15">
        <v>0</v>
      </c>
      <c r="AF6" s="14" t="s">
        <v>284</v>
      </c>
      <c r="AG6" s="15">
        <v>0</v>
      </c>
    </row>
    <row r="7" spans="1:33" x14ac:dyDescent="0.2">
      <c r="A7" s="2" t="s">
        <v>3</v>
      </c>
      <c r="B7" s="3" t="s">
        <v>35</v>
      </c>
      <c r="C7" s="2" t="s">
        <v>110</v>
      </c>
      <c r="D7" s="6" t="s">
        <v>125</v>
      </c>
      <c r="E7" s="12" t="s">
        <v>0</v>
      </c>
      <c r="F7" s="14" t="s">
        <v>587</v>
      </c>
      <c r="G7" s="15">
        <v>0</v>
      </c>
      <c r="H7" s="14" t="s">
        <v>284</v>
      </c>
      <c r="I7" s="15">
        <v>0</v>
      </c>
      <c r="J7" s="14" t="s">
        <v>284</v>
      </c>
      <c r="K7" s="15">
        <v>0</v>
      </c>
      <c r="L7" s="14" t="s">
        <v>284</v>
      </c>
      <c r="M7" s="15">
        <v>0</v>
      </c>
      <c r="N7" s="14" t="s">
        <v>556</v>
      </c>
      <c r="O7" s="24">
        <v>59.21</v>
      </c>
      <c r="P7" s="14">
        <v>55.37</v>
      </c>
      <c r="Q7" s="15">
        <v>13.35</v>
      </c>
      <c r="R7" s="23">
        <v>22.31</v>
      </c>
      <c r="S7" s="24">
        <v>24.31</v>
      </c>
      <c r="T7" s="23">
        <v>4.12</v>
      </c>
      <c r="U7" s="24">
        <v>25.17</v>
      </c>
      <c r="V7" s="14">
        <v>655.39</v>
      </c>
      <c r="W7" s="15">
        <v>6.59</v>
      </c>
      <c r="X7" s="14" t="s">
        <v>284</v>
      </c>
      <c r="Y7" s="15">
        <v>0</v>
      </c>
      <c r="Z7" s="14" t="s">
        <v>592</v>
      </c>
      <c r="AA7" s="15">
        <v>0</v>
      </c>
      <c r="AB7" s="14" t="s">
        <v>284</v>
      </c>
      <c r="AC7" s="15">
        <v>0</v>
      </c>
      <c r="AD7" s="14" t="s">
        <v>284</v>
      </c>
      <c r="AE7" s="15">
        <v>0</v>
      </c>
      <c r="AF7" s="14" t="s">
        <v>284</v>
      </c>
      <c r="AG7" s="15">
        <v>0</v>
      </c>
    </row>
    <row r="8" spans="1:33" x14ac:dyDescent="0.2">
      <c r="A8" s="2" t="s">
        <v>3</v>
      </c>
      <c r="B8" s="3" t="s">
        <v>35</v>
      </c>
      <c r="C8" s="2" t="s">
        <v>109</v>
      </c>
      <c r="D8" s="6" t="s">
        <v>126</v>
      </c>
      <c r="E8" s="12" t="s">
        <v>0</v>
      </c>
      <c r="F8" s="14" t="s">
        <v>587</v>
      </c>
      <c r="G8" s="15">
        <v>0</v>
      </c>
      <c r="H8" s="14" t="s">
        <v>284</v>
      </c>
      <c r="I8" s="15">
        <v>0</v>
      </c>
      <c r="J8" s="14" t="s">
        <v>284</v>
      </c>
      <c r="K8" s="15">
        <v>0</v>
      </c>
      <c r="L8" s="14" t="s">
        <v>284</v>
      </c>
      <c r="M8" s="15">
        <v>0</v>
      </c>
      <c r="N8" s="14" t="s">
        <v>554</v>
      </c>
      <c r="O8" s="15">
        <v>0</v>
      </c>
      <c r="P8" s="14">
        <v>90.99</v>
      </c>
      <c r="Q8" s="15">
        <v>6.18</v>
      </c>
      <c r="R8" s="14">
        <v>2.81</v>
      </c>
      <c r="S8" s="15">
        <v>19.940000000000001</v>
      </c>
      <c r="T8" s="14">
        <v>10.4</v>
      </c>
      <c r="U8" s="15">
        <v>17.37</v>
      </c>
      <c r="V8" s="14">
        <v>423.87</v>
      </c>
      <c r="W8" s="15">
        <v>7.74</v>
      </c>
      <c r="X8" s="14" t="s">
        <v>284</v>
      </c>
      <c r="Y8" s="15">
        <v>0</v>
      </c>
      <c r="Z8" s="14" t="s">
        <v>592</v>
      </c>
      <c r="AA8" s="15">
        <v>0</v>
      </c>
      <c r="AB8" s="14" t="s">
        <v>284</v>
      </c>
      <c r="AC8" s="15">
        <v>0</v>
      </c>
      <c r="AD8" s="14" t="s">
        <v>284</v>
      </c>
      <c r="AE8" s="15">
        <v>0</v>
      </c>
      <c r="AF8" s="14" t="s">
        <v>284</v>
      </c>
      <c r="AG8" s="15">
        <v>0</v>
      </c>
    </row>
    <row r="9" spans="1:33" x14ac:dyDescent="0.2">
      <c r="A9" s="2" t="s">
        <v>3</v>
      </c>
      <c r="B9" s="3" t="s">
        <v>35</v>
      </c>
      <c r="C9" s="2" t="s">
        <v>108</v>
      </c>
      <c r="D9" s="6" t="s">
        <v>127</v>
      </c>
      <c r="E9" s="12" t="s">
        <v>0</v>
      </c>
      <c r="F9" s="14" t="s">
        <v>587</v>
      </c>
      <c r="G9" s="15">
        <v>0</v>
      </c>
      <c r="H9" s="14" t="s">
        <v>284</v>
      </c>
      <c r="I9" s="15">
        <v>0</v>
      </c>
      <c r="J9" s="14" t="s">
        <v>284</v>
      </c>
      <c r="K9" s="15">
        <v>0</v>
      </c>
      <c r="L9" s="14" t="s">
        <v>284</v>
      </c>
      <c r="M9" s="15">
        <v>0</v>
      </c>
      <c r="N9" s="14" t="s">
        <v>558</v>
      </c>
      <c r="O9" s="24">
        <v>97.42</v>
      </c>
      <c r="P9" s="14">
        <v>59.92</v>
      </c>
      <c r="Q9" s="15">
        <v>7.63</v>
      </c>
      <c r="R9" s="23">
        <v>2.5</v>
      </c>
      <c r="S9" s="24">
        <v>20.07</v>
      </c>
      <c r="T9" s="14" t="s">
        <v>591</v>
      </c>
      <c r="U9" s="15">
        <v>0</v>
      </c>
      <c r="V9" s="14">
        <v>416.77</v>
      </c>
      <c r="W9" s="15">
        <v>1.61</v>
      </c>
      <c r="X9" s="14" t="s">
        <v>284</v>
      </c>
      <c r="Y9" s="15">
        <v>0</v>
      </c>
      <c r="Z9" s="14" t="s">
        <v>592</v>
      </c>
      <c r="AA9" s="15">
        <v>0</v>
      </c>
      <c r="AB9" s="14" t="s">
        <v>284</v>
      </c>
      <c r="AC9" s="15">
        <v>0</v>
      </c>
      <c r="AD9" s="14" t="s">
        <v>284</v>
      </c>
      <c r="AE9" s="15">
        <v>0</v>
      </c>
      <c r="AF9" s="14" t="s">
        <v>284</v>
      </c>
      <c r="AG9" s="15">
        <v>0</v>
      </c>
    </row>
    <row r="10" spans="1:33" x14ac:dyDescent="0.2">
      <c r="A10" s="2" t="s">
        <v>3</v>
      </c>
      <c r="B10" s="3" t="s">
        <v>35</v>
      </c>
      <c r="C10" s="2" t="s">
        <v>107</v>
      </c>
      <c r="D10" s="6" t="s">
        <v>128</v>
      </c>
      <c r="E10" s="12" t="s">
        <v>0</v>
      </c>
      <c r="F10" s="14" t="s">
        <v>587</v>
      </c>
      <c r="G10" s="15">
        <v>0</v>
      </c>
      <c r="H10" s="14" t="s">
        <v>284</v>
      </c>
      <c r="I10" s="15">
        <v>0</v>
      </c>
      <c r="J10" s="14" t="s">
        <v>284</v>
      </c>
      <c r="K10" s="15">
        <v>0</v>
      </c>
      <c r="L10" s="14" t="s">
        <v>284</v>
      </c>
      <c r="M10" s="15">
        <v>0</v>
      </c>
      <c r="N10" s="14" t="s">
        <v>588</v>
      </c>
      <c r="O10" s="15">
        <v>0</v>
      </c>
      <c r="P10" s="14">
        <v>42.76</v>
      </c>
      <c r="Q10" s="15">
        <v>0</v>
      </c>
      <c r="R10" s="14">
        <v>5.77</v>
      </c>
      <c r="S10" s="15">
        <v>0</v>
      </c>
      <c r="T10" s="14" t="s">
        <v>591</v>
      </c>
      <c r="U10" s="15">
        <v>0</v>
      </c>
      <c r="V10" s="14">
        <v>613.32000000000005</v>
      </c>
      <c r="W10" s="15">
        <v>0</v>
      </c>
      <c r="X10" s="14" t="s">
        <v>284</v>
      </c>
      <c r="Y10" s="15">
        <v>0</v>
      </c>
      <c r="Z10" s="14" t="s">
        <v>592</v>
      </c>
      <c r="AA10" s="15">
        <v>0</v>
      </c>
      <c r="AB10" s="14" t="s">
        <v>284</v>
      </c>
      <c r="AC10" s="15">
        <v>0</v>
      </c>
      <c r="AD10" s="14" t="s">
        <v>284</v>
      </c>
      <c r="AE10" s="15">
        <v>0</v>
      </c>
      <c r="AF10" s="14" t="s">
        <v>284</v>
      </c>
      <c r="AG10" s="15">
        <v>0</v>
      </c>
    </row>
    <row r="11" spans="1:33" x14ac:dyDescent="0.2">
      <c r="A11" s="2" t="s">
        <v>3</v>
      </c>
      <c r="B11" s="3" t="s">
        <v>35</v>
      </c>
      <c r="C11" s="2" t="s">
        <v>106</v>
      </c>
      <c r="D11" s="6" t="s">
        <v>129</v>
      </c>
      <c r="E11" s="12" t="s">
        <v>0</v>
      </c>
      <c r="F11" s="14" t="s">
        <v>587</v>
      </c>
      <c r="G11" s="15">
        <v>0</v>
      </c>
      <c r="H11" s="14" t="s">
        <v>284</v>
      </c>
      <c r="I11" s="15">
        <v>0</v>
      </c>
      <c r="J11" s="14" t="s">
        <v>284</v>
      </c>
      <c r="K11" s="15">
        <v>0</v>
      </c>
      <c r="L11" s="14" t="s">
        <v>284</v>
      </c>
      <c r="M11" s="15">
        <v>0</v>
      </c>
      <c r="N11" s="14">
        <v>9.36</v>
      </c>
      <c r="O11" s="15">
        <v>0</v>
      </c>
      <c r="P11" s="14">
        <v>347.38</v>
      </c>
      <c r="Q11" s="15">
        <v>0</v>
      </c>
      <c r="R11" s="14">
        <v>47.59</v>
      </c>
      <c r="S11" s="15">
        <v>0</v>
      </c>
      <c r="T11" s="14">
        <v>17.34</v>
      </c>
      <c r="U11" s="15">
        <v>0</v>
      </c>
      <c r="V11" s="14">
        <v>308.14999999999998</v>
      </c>
      <c r="W11" s="15">
        <v>0</v>
      </c>
      <c r="X11" s="14" t="s">
        <v>284</v>
      </c>
      <c r="Y11" s="15">
        <v>0</v>
      </c>
      <c r="Z11" s="14" t="s">
        <v>592</v>
      </c>
      <c r="AA11" s="15">
        <v>0</v>
      </c>
      <c r="AB11" s="14" t="s">
        <v>284</v>
      </c>
      <c r="AC11" s="15">
        <v>0</v>
      </c>
      <c r="AD11" s="14" t="s">
        <v>284</v>
      </c>
      <c r="AE11" s="15">
        <v>0</v>
      </c>
      <c r="AF11" s="14" t="s">
        <v>284</v>
      </c>
      <c r="AG11" s="15">
        <v>0</v>
      </c>
    </row>
    <row r="12" spans="1:33" x14ac:dyDescent="0.2">
      <c r="A12" s="2" t="s">
        <v>3</v>
      </c>
      <c r="B12" s="3" t="s">
        <v>35</v>
      </c>
      <c r="C12" s="2" t="s">
        <v>105</v>
      </c>
      <c r="D12" s="6" t="s">
        <v>130</v>
      </c>
      <c r="E12" s="12" t="s">
        <v>0</v>
      </c>
      <c r="F12" s="14" t="s">
        <v>587</v>
      </c>
      <c r="G12" s="15">
        <v>0</v>
      </c>
      <c r="H12" s="14" t="s">
        <v>284</v>
      </c>
      <c r="I12" s="15">
        <v>0</v>
      </c>
      <c r="J12" s="14" t="s">
        <v>284</v>
      </c>
      <c r="K12" s="15">
        <v>0</v>
      </c>
      <c r="L12" s="14" t="s">
        <v>284</v>
      </c>
      <c r="M12" s="15">
        <v>0</v>
      </c>
      <c r="N12" s="14" t="s">
        <v>588</v>
      </c>
      <c r="O12" s="15">
        <v>0</v>
      </c>
      <c r="P12" s="14">
        <v>13.34</v>
      </c>
      <c r="Q12" s="15">
        <v>0</v>
      </c>
      <c r="R12" s="14" t="s">
        <v>559</v>
      </c>
      <c r="S12" s="15">
        <v>0</v>
      </c>
      <c r="T12" s="14" t="s">
        <v>591</v>
      </c>
      <c r="U12" s="15">
        <v>0</v>
      </c>
      <c r="V12" s="14">
        <v>267.51</v>
      </c>
      <c r="W12" s="15">
        <v>0</v>
      </c>
      <c r="X12" s="14" t="s">
        <v>284</v>
      </c>
      <c r="Y12" s="15">
        <v>0</v>
      </c>
      <c r="Z12" s="14" t="s">
        <v>592</v>
      </c>
      <c r="AA12" s="15">
        <v>0</v>
      </c>
      <c r="AB12" s="14" t="s">
        <v>284</v>
      </c>
      <c r="AC12" s="15">
        <v>0</v>
      </c>
      <c r="AD12" s="14" t="s">
        <v>284</v>
      </c>
      <c r="AE12" s="15">
        <v>0</v>
      </c>
      <c r="AF12" s="14" t="s">
        <v>284</v>
      </c>
      <c r="AG12" s="15">
        <v>0</v>
      </c>
    </row>
    <row r="13" spans="1:33" x14ac:dyDescent="0.2">
      <c r="A13" s="2" t="s">
        <v>3</v>
      </c>
      <c r="B13" s="3" t="s">
        <v>35</v>
      </c>
      <c r="C13" s="2" t="s">
        <v>104</v>
      </c>
      <c r="D13" s="6" t="s">
        <v>131</v>
      </c>
      <c r="E13" s="12" t="s">
        <v>0</v>
      </c>
      <c r="F13" s="14" t="s">
        <v>587</v>
      </c>
      <c r="G13" s="15">
        <v>0</v>
      </c>
      <c r="H13" s="14" t="s">
        <v>284</v>
      </c>
      <c r="I13" s="15">
        <v>0</v>
      </c>
      <c r="J13" s="14" t="s">
        <v>284</v>
      </c>
      <c r="K13" s="15">
        <v>0</v>
      </c>
      <c r="L13" s="14" t="s">
        <v>284</v>
      </c>
      <c r="M13" s="15">
        <v>0</v>
      </c>
      <c r="N13" s="14" t="s">
        <v>560</v>
      </c>
      <c r="O13" s="15">
        <v>0</v>
      </c>
      <c r="P13" s="14">
        <v>8.49</v>
      </c>
      <c r="Q13" s="15">
        <v>0</v>
      </c>
      <c r="R13" s="14">
        <v>8.1</v>
      </c>
      <c r="S13" s="15">
        <v>0</v>
      </c>
      <c r="T13" s="14" t="s">
        <v>591</v>
      </c>
      <c r="U13" s="15">
        <v>0</v>
      </c>
      <c r="V13" s="14">
        <v>327.98</v>
      </c>
      <c r="W13" s="15">
        <v>0</v>
      </c>
      <c r="X13" s="14" t="s">
        <v>284</v>
      </c>
      <c r="Y13" s="15">
        <v>0</v>
      </c>
      <c r="Z13" s="14" t="s">
        <v>592</v>
      </c>
      <c r="AA13" s="15">
        <v>0</v>
      </c>
      <c r="AB13" s="14" t="s">
        <v>284</v>
      </c>
      <c r="AC13" s="15">
        <v>0</v>
      </c>
      <c r="AD13" s="14" t="s">
        <v>284</v>
      </c>
      <c r="AE13" s="15">
        <v>0</v>
      </c>
      <c r="AF13" s="14" t="s">
        <v>284</v>
      </c>
      <c r="AG13" s="15">
        <v>0</v>
      </c>
    </row>
    <row r="14" spans="1:33" x14ac:dyDescent="0.2">
      <c r="A14" s="2" t="s">
        <v>3</v>
      </c>
      <c r="B14" s="3" t="s">
        <v>35</v>
      </c>
      <c r="C14" s="2" t="s">
        <v>103</v>
      </c>
      <c r="D14" s="6" t="s">
        <v>132</v>
      </c>
      <c r="E14" s="12" t="s">
        <v>0</v>
      </c>
      <c r="F14" s="14" t="s">
        <v>587</v>
      </c>
      <c r="G14" s="15">
        <v>0</v>
      </c>
      <c r="H14" s="14" t="s">
        <v>284</v>
      </c>
      <c r="I14" s="15">
        <v>0</v>
      </c>
      <c r="J14" s="14" t="s">
        <v>284</v>
      </c>
      <c r="K14" s="15">
        <v>0</v>
      </c>
      <c r="L14" s="14" t="s">
        <v>284</v>
      </c>
      <c r="M14" s="15">
        <v>0</v>
      </c>
      <c r="N14" s="14" t="s">
        <v>560</v>
      </c>
      <c r="O14" s="15">
        <v>0</v>
      </c>
      <c r="P14" s="14">
        <v>290.74</v>
      </c>
      <c r="Q14" s="15">
        <v>0</v>
      </c>
      <c r="R14" s="14">
        <v>114.27</v>
      </c>
      <c r="S14" s="15">
        <v>0</v>
      </c>
      <c r="T14" s="14">
        <v>9.42</v>
      </c>
      <c r="U14" s="15">
        <v>0</v>
      </c>
      <c r="V14" s="14">
        <v>2386.6</v>
      </c>
      <c r="W14" s="15">
        <v>0</v>
      </c>
      <c r="X14" s="14" t="s">
        <v>284</v>
      </c>
      <c r="Y14" s="15">
        <v>0</v>
      </c>
      <c r="Z14" s="14" t="s">
        <v>592</v>
      </c>
      <c r="AA14" s="15">
        <v>0</v>
      </c>
      <c r="AB14" s="14" t="s">
        <v>284</v>
      </c>
      <c r="AC14" s="15">
        <v>0</v>
      </c>
      <c r="AD14" s="14" t="s">
        <v>284</v>
      </c>
      <c r="AE14" s="15">
        <v>0</v>
      </c>
      <c r="AF14" s="14" t="s">
        <v>284</v>
      </c>
      <c r="AG14" s="15">
        <v>0</v>
      </c>
    </row>
    <row r="15" spans="1:33" x14ac:dyDescent="0.2">
      <c r="A15" s="2" t="s">
        <v>3</v>
      </c>
      <c r="B15" s="3" t="s">
        <v>35</v>
      </c>
      <c r="C15" s="2" t="s">
        <v>102</v>
      </c>
      <c r="D15" s="6" t="s">
        <v>133</v>
      </c>
      <c r="E15" s="12" t="s">
        <v>0</v>
      </c>
      <c r="F15" s="14" t="s">
        <v>587</v>
      </c>
      <c r="G15" s="15">
        <v>0</v>
      </c>
      <c r="H15" s="14" t="s">
        <v>284</v>
      </c>
      <c r="I15" s="15">
        <v>0</v>
      </c>
      <c r="J15" s="14" t="s">
        <v>284</v>
      </c>
      <c r="K15" s="15">
        <v>0</v>
      </c>
      <c r="L15" s="14" t="s">
        <v>284</v>
      </c>
      <c r="M15" s="15">
        <v>0</v>
      </c>
      <c r="N15" s="14">
        <v>12.19</v>
      </c>
      <c r="O15" s="15">
        <v>0</v>
      </c>
      <c r="P15" s="14">
        <v>142.29</v>
      </c>
      <c r="Q15" s="15">
        <v>0</v>
      </c>
      <c r="R15" s="14">
        <v>31.57</v>
      </c>
      <c r="S15" s="15">
        <v>0</v>
      </c>
      <c r="T15" s="14">
        <v>5.0999999999999996</v>
      </c>
      <c r="U15" s="15">
        <v>0</v>
      </c>
      <c r="V15" s="14">
        <v>1455.97</v>
      </c>
      <c r="W15" s="15">
        <v>0</v>
      </c>
      <c r="X15" s="14" t="s">
        <v>284</v>
      </c>
      <c r="Y15" s="15">
        <v>0</v>
      </c>
      <c r="Z15" s="14" t="s">
        <v>592</v>
      </c>
      <c r="AA15" s="15">
        <v>0</v>
      </c>
      <c r="AB15" s="14" t="s">
        <v>284</v>
      </c>
      <c r="AC15" s="15">
        <v>0</v>
      </c>
      <c r="AD15" s="14" t="s">
        <v>284</v>
      </c>
      <c r="AE15" s="15">
        <v>0</v>
      </c>
      <c r="AF15" s="14" t="s">
        <v>284</v>
      </c>
      <c r="AG15" s="15">
        <v>0</v>
      </c>
    </row>
    <row r="16" spans="1:33" x14ac:dyDescent="0.2">
      <c r="A16" s="2" t="s">
        <v>3</v>
      </c>
      <c r="B16" s="3" t="s">
        <v>35</v>
      </c>
      <c r="C16" s="2" t="s">
        <v>101</v>
      </c>
      <c r="D16" s="6" t="s">
        <v>134</v>
      </c>
      <c r="E16" s="12" t="s">
        <v>0</v>
      </c>
      <c r="F16" s="14" t="s">
        <v>587</v>
      </c>
      <c r="G16" s="15">
        <v>0</v>
      </c>
      <c r="H16" s="14" t="s">
        <v>284</v>
      </c>
      <c r="I16" s="15">
        <v>0</v>
      </c>
      <c r="J16" s="14" t="s">
        <v>284</v>
      </c>
      <c r="K16" s="15">
        <v>0</v>
      </c>
      <c r="L16" s="14" t="s">
        <v>284</v>
      </c>
      <c r="M16" s="15">
        <v>0</v>
      </c>
      <c r="N16" s="14" t="s">
        <v>558</v>
      </c>
      <c r="O16" s="15">
        <v>0</v>
      </c>
      <c r="P16" s="14">
        <v>227.73</v>
      </c>
      <c r="Q16" s="15">
        <v>0</v>
      </c>
      <c r="R16" s="14">
        <v>36.68</v>
      </c>
      <c r="S16" s="15">
        <v>0</v>
      </c>
      <c r="T16" s="14" t="s">
        <v>591</v>
      </c>
      <c r="U16" s="15">
        <v>0</v>
      </c>
      <c r="V16" s="14">
        <v>633.6</v>
      </c>
      <c r="W16" s="15">
        <v>0</v>
      </c>
      <c r="X16" s="14" t="s">
        <v>284</v>
      </c>
      <c r="Y16" s="15">
        <v>0</v>
      </c>
      <c r="Z16" s="14" t="s">
        <v>592</v>
      </c>
      <c r="AA16" s="15">
        <v>0</v>
      </c>
      <c r="AB16" s="14" t="s">
        <v>284</v>
      </c>
      <c r="AC16" s="15">
        <v>0</v>
      </c>
      <c r="AD16" s="14" t="s">
        <v>284</v>
      </c>
      <c r="AE16" s="15">
        <v>0</v>
      </c>
      <c r="AF16" s="14" t="s">
        <v>284</v>
      </c>
      <c r="AG16" s="15">
        <v>0</v>
      </c>
    </row>
    <row r="17" spans="1:33" x14ac:dyDescent="0.2">
      <c r="A17" s="2" t="s">
        <v>3</v>
      </c>
      <c r="B17" s="3" t="s">
        <v>35</v>
      </c>
      <c r="C17" s="2" t="s">
        <v>100</v>
      </c>
      <c r="D17" s="6" t="s">
        <v>135</v>
      </c>
      <c r="E17" s="12" t="s">
        <v>0</v>
      </c>
      <c r="F17" s="14" t="s">
        <v>587</v>
      </c>
      <c r="G17" s="15">
        <v>0</v>
      </c>
      <c r="H17" s="14" t="s">
        <v>284</v>
      </c>
      <c r="I17" s="15">
        <v>0</v>
      </c>
      <c r="J17" s="14" t="s">
        <v>284</v>
      </c>
      <c r="K17" s="15">
        <v>0</v>
      </c>
      <c r="L17" s="14" t="s">
        <v>284</v>
      </c>
      <c r="M17" s="15">
        <v>0</v>
      </c>
      <c r="N17" s="14" t="s">
        <v>560</v>
      </c>
      <c r="O17" s="15">
        <v>0</v>
      </c>
      <c r="P17" s="14">
        <v>78.319999999999993</v>
      </c>
      <c r="Q17" s="15">
        <v>0</v>
      </c>
      <c r="R17" s="14">
        <v>14.38</v>
      </c>
      <c r="S17" s="15">
        <v>0</v>
      </c>
      <c r="T17" s="14" t="s">
        <v>591</v>
      </c>
      <c r="U17" s="15">
        <v>0</v>
      </c>
      <c r="V17" s="14">
        <v>506.95</v>
      </c>
      <c r="W17" s="15">
        <v>0</v>
      </c>
      <c r="X17" s="14" t="s">
        <v>284</v>
      </c>
      <c r="Y17" s="15">
        <v>0</v>
      </c>
      <c r="Z17" s="14" t="s">
        <v>592</v>
      </c>
      <c r="AA17" s="15">
        <v>0</v>
      </c>
      <c r="AB17" s="14" t="s">
        <v>284</v>
      </c>
      <c r="AC17" s="15">
        <v>0</v>
      </c>
      <c r="AD17" s="14" t="s">
        <v>284</v>
      </c>
      <c r="AE17" s="15">
        <v>0</v>
      </c>
      <c r="AF17" s="14" t="s">
        <v>284</v>
      </c>
      <c r="AG17" s="15">
        <v>0</v>
      </c>
    </row>
    <row r="18" spans="1:33" x14ac:dyDescent="0.2">
      <c r="A18" s="2" t="s">
        <v>3</v>
      </c>
      <c r="B18" s="3" t="s">
        <v>35</v>
      </c>
      <c r="C18" s="2" t="s">
        <v>99</v>
      </c>
      <c r="D18" s="6" t="s">
        <v>136</v>
      </c>
      <c r="E18" s="12" t="s">
        <v>0</v>
      </c>
      <c r="F18" s="14" t="s">
        <v>587</v>
      </c>
      <c r="G18" s="15">
        <v>0</v>
      </c>
      <c r="H18" s="14" t="s">
        <v>284</v>
      </c>
      <c r="I18" s="15">
        <v>0</v>
      </c>
      <c r="J18" s="14" t="s">
        <v>284</v>
      </c>
      <c r="K18" s="15">
        <v>0</v>
      </c>
      <c r="L18" s="14" t="s">
        <v>284</v>
      </c>
      <c r="M18" s="15">
        <v>0</v>
      </c>
      <c r="N18" s="14" t="s">
        <v>588</v>
      </c>
      <c r="O18" s="15">
        <v>0</v>
      </c>
      <c r="P18" s="14">
        <v>18.72</v>
      </c>
      <c r="Q18" s="15">
        <v>0</v>
      </c>
      <c r="R18" s="14">
        <v>5.26</v>
      </c>
      <c r="S18" s="15">
        <v>0</v>
      </c>
      <c r="T18" s="14" t="s">
        <v>591</v>
      </c>
      <c r="U18" s="15">
        <v>0</v>
      </c>
      <c r="V18" s="14">
        <v>398.8</v>
      </c>
      <c r="W18" s="15">
        <v>0</v>
      </c>
      <c r="X18" s="14" t="s">
        <v>284</v>
      </c>
      <c r="Y18" s="15">
        <v>0</v>
      </c>
      <c r="Z18" s="14" t="s">
        <v>592</v>
      </c>
      <c r="AA18" s="15">
        <v>0</v>
      </c>
      <c r="AB18" s="14" t="s">
        <v>284</v>
      </c>
      <c r="AC18" s="15">
        <v>0</v>
      </c>
      <c r="AD18" s="14" t="s">
        <v>284</v>
      </c>
      <c r="AE18" s="15">
        <v>0</v>
      </c>
      <c r="AF18" s="14" t="s">
        <v>284</v>
      </c>
      <c r="AG18" s="15">
        <v>0</v>
      </c>
    </row>
    <row r="19" spans="1:33" x14ac:dyDescent="0.2">
      <c r="A19" s="2" t="s">
        <v>3</v>
      </c>
      <c r="B19" s="3" t="s">
        <v>35</v>
      </c>
      <c r="C19" s="2" t="s">
        <v>98</v>
      </c>
      <c r="D19" s="6" t="s">
        <v>137</v>
      </c>
      <c r="E19" s="12" t="s">
        <v>0</v>
      </c>
      <c r="F19" s="14" t="s">
        <v>587</v>
      </c>
      <c r="G19" s="15">
        <v>0</v>
      </c>
      <c r="H19" s="14" t="s">
        <v>284</v>
      </c>
      <c r="I19" s="15">
        <v>0</v>
      </c>
      <c r="J19" s="14" t="s">
        <v>284</v>
      </c>
      <c r="K19" s="15">
        <v>0</v>
      </c>
      <c r="L19" s="14" t="s">
        <v>284</v>
      </c>
      <c r="M19" s="15">
        <v>0</v>
      </c>
      <c r="N19" s="14">
        <v>15.07</v>
      </c>
      <c r="O19" s="15">
        <v>0</v>
      </c>
      <c r="P19" s="14">
        <v>2035.06</v>
      </c>
      <c r="Q19" s="15">
        <v>0</v>
      </c>
      <c r="R19" s="14">
        <v>179.94</v>
      </c>
      <c r="S19" s="15">
        <v>0</v>
      </c>
      <c r="T19" s="14">
        <v>212.38</v>
      </c>
      <c r="U19" s="15">
        <v>0</v>
      </c>
      <c r="V19" s="14">
        <v>711.38</v>
      </c>
      <c r="W19" s="15">
        <v>0</v>
      </c>
      <c r="X19" s="14" t="s">
        <v>284</v>
      </c>
      <c r="Y19" s="15">
        <v>0</v>
      </c>
      <c r="Z19" s="14" t="s">
        <v>592</v>
      </c>
      <c r="AA19" s="15">
        <v>0</v>
      </c>
      <c r="AB19" s="14" t="s">
        <v>284</v>
      </c>
      <c r="AC19" s="15">
        <v>0</v>
      </c>
      <c r="AD19" s="14">
        <v>2.1800000000000002</v>
      </c>
      <c r="AE19" s="15">
        <v>0</v>
      </c>
      <c r="AF19" s="14" t="s">
        <v>284</v>
      </c>
      <c r="AG19" s="15">
        <v>0</v>
      </c>
    </row>
    <row r="20" spans="1:33" x14ac:dyDescent="0.2">
      <c r="A20" s="2" t="s">
        <v>3</v>
      </c>
      <c r="B20" s="3" t="s">
        <v>35</v>
      </c>
      <c r="C20" s="2" t="s">
        <v>97</v>
      </c>
      <c r="D20" s="6" t="s">
        <v>138</v>
      </c>
      <c r="E20" s="12" t="s">
        <v>0</v>
      </c>
      <c r="F20" s="14" t="s">
        <v>587</v>
      </c>
      <c r="G20" s="15">
        <v>0</v>
      </c>
      <c r="H20" s="14" t="s">
        <v>284</v>
      </c>
      <c r="I20" s="15">
        <v>0</v>
      </c>
      <c r="J20" s="14" t="s">
        <v>284</v>
      </c>
      <c r="K20" s="15">
        <v>0</v>
      </c>
      <c r="L20" s="14" t="s">
        <v>284</v>
      </c>
      <c r="M20" s="15">
        <v>0</v>
      </c>
      <c r="N20" s="14" t="s">
        <v>588</v>
      </c>
      <c r="O20" s="15">
        <v>0</v>
      </c>
      <c r="P20" s="14">
        <v>72.05</v>
      </c>
      <c r="Q20" s="15">
        <v>0</v>
      </c>
      <c r="R20" s="14">
        <v>217.63</v>
      </c>
      <c r="S20" s="15">
        <v>0</v>
      </c>
      <c r="T20" s="14">
        <v>3.14</v>
      </c>
      <c r="U20" s="15">
        <v>0</v>
      </c>
      <c r="V20" s="14">
        <v>2242.2600000000002</v>
      </c>
      <c r="W20" s="15">
        <v>0</v>
      </c>
      <c r="X20" s="14" t="s">
        <v>284</v>
      </c>
      <c r="Y20" s="15">
        <v>0</v>
      </c>
      <c r="Z20" s="14" t="s">
        <v>592</v>
      </c>
      <c r="AA20" s="15">
        <v>0</v>
      </c>
      <c r="AB20" s="14" t="s">
        <v>284</v>
      </c>
      <c r="AC20" s="15">
        <v>0</v>
      </c>
      <c r="AD20" s="14" t="s">
        <v>284</v>
      </c>
      <c r="AE20" s="15">
        <v>0</v>
      </c>
      <c r="AF20" s="14" t="s">
        <v>284</v>
      </c>
      <c r="AG20" s="15">
        <v>0</v>
      </c>
    </row>
    <row r="21" spans="1:33" x14ac:dyDescent="0.2">
      <c r="A21" s="2" t="s">
        <v>3</v>
      </c>
      <c r="B21" s="3" t="s">
        <v>35</v>
      </c>
      <c r="C21" s="2" t="s">
        <v>96</v>
      </c>
      <c r="D21" s="6" t="s">
        <v>139</v>
      </c>
      <c r="E21" s="12" t="s">
        <v>0</v>
      </c>
      <c r="F21" s="14" t="s">
        <v>587</v>
      </c>
      <c r="G21" s="15">
        <v>0</v>
      </c>
      <c r="H21" s="14" t="s">
        <v>284</v>
      </c>
      <c r="I21" s="15">
        <v>0</v>
      </c>
      <c r="J21" s="14" t="s">
        <v>284</v>
      </c>
      <c r="K21" s="15">
        <v>0</v>
      </c>
      <c r="L21" s="14" t="s">
        <v>284</v>
      </c>
      <c r="M21" s="15">
        <v>0</v>
      </c>
      <c r="N21" s="14" t="s">
        <v>560</v>
      </c>
      <c r="O21" s="15">
        <v>0</v>
      </c>
      <c r="P21" s="14">
        <v>61.21</v>
      </c>
      <c r="Q21" s="15">
        <v>0</v>
      </c>
      <c r="R21" s="14">
        <v>193.3</v>
      </c>
      <c r="S21" s="15">
        <v>0</v>
      </c>
      <c r="T21" s="14">
        <v>4.6100000000000003</v>
      </c>
      <c r="U21" s="15">
        <v>0</v>
      </c>
      <c r="V21" s="14">
        <v>737.83</v>
      </c>
      <c r="W21" s="15">
        <v>0</v>
      </c>
      <c r="X21" s="14" t="s">
        <v>284</v>
      </c>
      <c r="Y21" s="15">
        <v>0</v>
      </c>
      <c r="Z21" s="14" t="s">
        <v>592</v>
      </c>
      <c r="AA21" s="15">
        <v>0</v>
      </c>
      <c r="AB21" s="14" t="s">
        <v>284</v>
      </c>
      <c r="AC21" s="15">
        <v>0</v>
      </c>
      <c r="AD21" s="14" t="s">
        <v>284</v>
      </c>
      <c r="AE21" s="15">
        <v>0</v>
      </c>
      <c r="AF21" s="14" t="s">
        <v>284</v>
      </c>
      <c r="AG21" s="15">
        <v>0</v>
      </c>
    </row>
    <row r="22" spans="1:33" x14ac:dyDescent="0.2">
      <c r="A22" s="2" t="s">
        <v>3</v>
      </c>
      <c r="B22" s="3" t="s">
        <v>35</v>
      </c>
      <c r="C22" s="2" t="s">
        <v>95</v>
      </c>
      <c r="D22" s="6" t="s">
        <v>140</v>
      </c>
      <c r="E22" s="12" t="s">
        <v>0</v>
      </c>
      <c r="F22" s="14" t="s">
        <v>587</v>
      </c>
      <c r="G22" s="15">
        <v>0</v>
      </c>
      <c r="H22" s="14" t="s">
        <v>284</v>
      </c>
      <c r="I22" s="15">
        <v>0</v>
      </c>
      <c r="J22" s="14" t="s">
        <v>284</v>
      </c>
      <c r="K22" s="15">
        <v>0</v>
      </c>
      <c r="L22" s="14" t="s">
        <v>284</v>
      </c>
      <c r="M22" s="15">
        <v>0</v>
      </c>
      <c r="N22" s="14" t="s">
        <v>588</v>
      </c>
      <c r="O22" s="15">
        <v>0</v>
      </c>
      <c r="P22" s="14">
        <v>14.9</v>
      </c>
      <c r="Q22" s="15">
        <v>0</v>
      </c>
      <c r="R22" s="14" t="s">
        <v>561</v>
      </c>
      <c r="S22" s="15">
        <v>0</v>
      </c>
      <c r="T22" s="14" t="s">
        <v>591</v>
      </c>
      <c r="U22" s="15">
        <v>0</v>
      </c>
      <c r="V22" s="14">
        <v>264.67</v>
      </c>
      <c r="W22" s="15">
        <v>0</v>
      </c>
      <c r="X22" s="14" t="s">
        <v>284</v>
      </c>
      <c r="Y22" s="15">
        <v>0</v>
      </c>
      <c r="Z22" s="14" t="s">
        <v>592</v>
      </c>
      <c r="AA22" s="15">
        <v>0</v>
      </c>
      <c r="AB22" s="14" t="s">
        <v>284</v>
      </c>
      <c r="AC22" s="15">
        <v>0</v>
      </c>
      <c r="AD22" s="14" t="s">
        <v>284</v>
      </c>
      <c r="AE22" s="15">
        <v>0</v>
      </c>
      <c r="AF22" s="14" t="s">
        <v>284</v>
      </c>
      <c r="AG22" s="15">
        <v>0</v>
      </c>
    </row>
    <row r="23" spans="1:33" x14ac:dyDescent="0.2">
      <c r="A23" s="2" t="s">
        <v>3</v>
      </c>
      <c r="B23" s="3" t="s">
        <v>35</v>
      </c>
      <c r="C23" s="2" t="s">
        <v>94</v>
      </c>
      <c r="D23" s="6" t="s">
        <v>141</v>
      </c>
      <c r="E23" s="12" t="s">
        <v>0</v>
      </c>
      <c r="F23" s="14" t="s">
        <v>587</v>
      </c>
      <c r="G23" s="15">
        <v>0</v>
      </c>
      <c r="H23" s="14" t="s">
        <v>284</v>
      </c>
      <c r="I23" s="15">
        <v>0</v>
      </c>
      <c r="J23" s="14" t="s">
        <v>284</v>
      </c>
      <c r="K23" s="15">
        <v>0</v>
      </c>
      <c r="L23" s="14" t="s">
        <v>284</v>
      </c>
      <c r="M23" s="15">
        <v>0</v>
      </c>
      <c r="N23" s="14" t="s">
        <v>588</v>
      </c>
      <c r="O23" s="15">
        <v>0</v>
      </c>
      <c r="P23" s="14">
        <v>17.2</v>
      </c>
      <c r="Q23" s="15">
        <v>0</v>
      </c>
      <c r="R23" s="14">
        <v>2.68</v>
      </c>
      <c r="S23" s="15">
        <v>0</v>
      </c>
      <c r="T23" s="14" t="s">
        <v>591</v>
      </c>
      <c r="U23" s="15">
        <v>0</v>
      </c>
      <c r="V23" s="14">
        <v>289.26</v>
      </c>
      <c r="W23" s="15">
        <v>0</v>
      </c>
      <c r="X23" s="14" t="s">
        <v>284</v>
      </c>
      <c r="Y23" s="15">
        <v>0</v>
      </c>
      <c r="Z23" s="14" t="s">
        <v>592</v>
      </c>
      <c r="AA23" s="15">
        <v>0</v>
      </c>
      <c r="AB23" s="14" t="s">
        <v>284</v>
      </c>
      <c r="AC23" s="15">
        <v>0</v>
      </c>
      <c r="AD23" s="14" t="s">
        <v>284</v>
      </c>
      <c r="AE23" s="15">
        <v>0</v>
      </c>
      <c r="AF23" s="14" t="s">
        <v>284</v>
      </c>
      <c r="AG23" s="15">
        <v>0</v>
      </c>
    </row>
    <row r="24" spans="1:33" x14ac:dyDescent="0.2">
      <c r="A24" s="2" t="s">
        <v>3</v>
      </c>
      <c r="B24" s="3" t="s">
        <v>35</v>
      </c>
      <c r="C24" s="2" t="s">
        <v>93</v>
      </c>
      <c r="D24" s="6" t="s">
        <v>142</v>
      </c>
      <c r="E24" s="12" t="s">
        <v>0</v>
      </c>
      <c r="F24" s="14" t="s">
        <v>587</v>
      </c>
      <c r="G24" s="15">
        <v>0</v>
      </c>
      <c r="H24" s="14" t="s">
        <v>284</v>
      </c>
      <c r="I24" s="15">
        <v>0</v>
      </c>
      <c r="J24" s="14" t="s">
        <v>284</v>
      </c>
      <c r="K24" s="15">
        <v>0</v>
      </c>
      <c r="L24" s="14" t="s">
        <v>284</v>
      </c>
      <c r="M24" s="15">
        <v>0</v>
      </c>
      <c r="N24" s="14" t="s">
        <v>588</v>
      </c>
      <c r="O24" s="15">
        <v>0</v>
      </c>
      <c r="P24" s="14" t="s">
        <v>589</v>
      </c>
      <c r="Q24" s="15">
        <v>0</v>
      </c>
      <c r="R24" s="14" t="s">
        <v>562</v>
      </c>
      <c r="S24" s="15">
        <v>0</v>
      </c>
      <c r="T24" s="14" t="s">
        <v>591</v>
      </c>
      <c r="U24" s="15">
        <v>0</v>
      </c>
      <c r="V24" s="14">
        <v>330.81</v>
      </c>
      <c r="W24" s="15">
        <v>0</v>
      </c>
      <c r="X24" s="14" t="s">
        <v>284</v>
      </c>
      <c r="Y24" s="15">
        <v>0</v>
      </c>
      <c r="Z24" s="14" t="s">
        <v>592</v>
      </c>
      <c r="AA24" s="15">
        <v>0</v>
      </c>
      <c r="AB24" s="14" t="s">
        <v>284</v>
      </c>
      <c r="AC24" s="15">
        <v>0</v>
      </c>
      <c r="AD24" s="14" t="s">
        <v>284</v>
      </c>
      <c r="AE24" s="15">
        <v>0</v>
      </c>
      <c r="AF24" s="14" t="s">
        <v>284</v>
      </c>
      <c r="AG24" s="15">
        <v>0</v>
      </c>
    </row>
    <row r="25" spans="1:33" x14ac:dyDescent="0.2">
      <c r="A25" s="2" t="s">
        <v>3</v>
      </c>
      <c r="B25" s="3" t="s">
        <v>35</v>
      </c>
      <c r="C25" s="2" t="s">
        <v>92</v>
      </c>
      <c r="D25" s="6" t="s">
        <v>143</v>
      </c>
      <c r="E25" s="12" t="s">
        <v>0</v>
      </c>
      <c r="F25" s="14" t="s">
        <v>587</v>
      </c>
      <c r="G25" s="15">
        <v>0</v>
      </c>
      <c r="H25" s="14" t="s">
        <v>284</v>
      </c>
      <c r="I25" s="15">
        <v>0</v>
      </c>
      <c r="J25" s="14" t="s">
        <v>284</v>
      </c>
      <c r="K25" s="15">
        <v>0</v>
      </c>
      <c r="L25" s="14" t="s">
        <v>284</v>
      </c>
      <c r="M25" s="15">
        <v>0</v>
      </c>
      <c r="N25" s="14" t="s">
        <v>558</v>
      </c>
      <c r="O25" s="15">
        <v>0</v>
      </c>
      <c r="P25" s="14">
        <v>46.13</v>
      </c>
      <c r="Q25" s="15">
        <v>0</v>
      </c>
      <c r="R25" s="14">
        <v>5.77</v>
      </c>
      <c r="S25" s="15">
        <v>0</v>
      </c>
      <c r="T25" s="14" t="s">
        <v>563</v>
      </c>
      <c r="U25" s="15">
        <v>0</v>
      </c>
      <c r="V25" s="14">
        <v>291.14999999999998</v>
      </c>
      <c r="W25" s="15">
        <v>0</v>
      </c>
      <c r="X25" s="14" t="s">
        <v>284</v>
      </c>
      <c r="Y25" s="15">
        <v>0</v>
      </c>
      <c r="Z25" s="14" t="s">
        <v>592</v>
      </c>
      <c r="AA25" s="15">
        <v>0</v>
      </c>
      <c r="AB25" s="14" t="s">
        <v>284</v>
      </c>
      <c r="AC25" s="15">
        <v>0</v>
      </c>
      <c r="AD25" s="14" t="s">
        <v>284</v>
      </c>
      <c r="AE25" s="15">
        <v>0</v>
      </c>
      <c r="AF25" s="14" t="s">
        <v>284</v>
      </c>
      <c r="AG25" s="15">
        <v>0</v>
      </c>
    </row>
    <row r="26" spans="1:33" x14ac:dyDescent="0.2">
      <c r="A26" s="2" t="s">
        <v>3</v>
      </c>
      <c r="B26" s="3" t="s">
        <v>35</v>
      </c>
      <c r="C26" s="2" t="s">
        <v>91</v>
      </c>
      <c r="D26" s="6" t="s">
        <v>144</v>
      </c>
      <c r="E26" s="12" t="s">
        <v>0</v>
      </c>
      <c r="F26" s="14" t="s">
        <v>587</v>
      </c>
      <c r="G26" s="15">
        <v>0</v>
      </c>
      <c r="H26" s="14" t="s">
        <v>284</v>
      </c>
      <c r="I26" s="15">
        <v>0</v>
      </c>
      <c r="J26" s="14" t="s">
        <v>284</v>
      </c>
      <c r="K26" s="15">
        <v>0</v>
      </c>
      <c r="L26" s="14" t="s">
        <v>284</v>
      </c>
      <c r="M26" s="15">
        <v>0</v>
      </c>
      <c r="N26" s="14" t="s">
        <v>560</v>
      </c>
      <c r="O26" s="15">
        <v>0</v>
      </c>
      <c r="P26" s="14" t="s">
        <v>589</v>
      </c>
      <c r="Q26" s="15">
        <v>0</v>
      </c>
      <c r="R26" s="14" t="s">
        <v>590</v>
      </c>
      <c r="S26" s="15">
        <v>0</v>
      </c>
      <c r="T26" s="14" t="s">
        <v>591</v>
      </c>
      <c r="U26" s="15">
        <v>0</v>
      </c>
      <c r="V26" s="14">
        <v>178.07</v>
      </c>
      <c r="W26" s="15">
        <v>0</v>
      </c>
      <c r="X26" s="14" t="s">
        <v>284</v>
      </c>
      <c r="Y26" s="15">
        <v>0</v>
      </c>
      <c r="Z26" s="14" t="s">
        <v>592</v>
      </c>
      <c r="AA26" s="15">
        <v>0</v>
      </c>
      <c r="AB26" s="14" t="s">
        <v>284</v>
      </c>
      <c r="AC26" s="15">
        <v>0</v>
      </c>
      <c r="AD26" s="14" t="s">
        <v>284</v>
      </c>
      <c r="AE26" s="15">
        <v>0</v>
      </c>
      <c r="AF26" s="14" t="s">
        <v>284</v>
      </c>
      <c r="AG26" s="15">
        <v>0</v>
      </c>
    </row>
    <row r="27" spans="1:33" x14ac:dyDescent="0.2">
      <c r="A27" s="2" t="s">
        <v>3</v>
      </c>
      <c r="B27" s="3" t="s">
        <v>35</v>
      </c>
      <c r="C27" s="2" t="s">
        <v>90</v>
      </c>
      <c r="D27" s="6" t="s">
        <v>145</v>
      </c>
      <c r="E27" s="12" t="s">
        <v>0</v>
      </c>
      <c r="F27" s="14" t="s">
        <v>587</v>
      </c>
      <c r="G27" s="15">
        <v>0</v>
      </c>
      <c r="H27" s="14" t="s">
        <v>284</v>
      </c>
      <c r="I27" s="15">
        <v>0</v>
      </c>
      <c r="J27" s="14" t="s">
        <v>284</v>
      </c>
      <c r="K27" s="15">
        <v>0</v>
      </c>
      <c r="L27" s="14" t="s">
        <v>284</v>
      </c>
      <c r="M27" s="15">
        <v>0</v>
      </c>
      <c r="N27" s="14" t="s">
        <v>588</v>
      </c>
      <c r="O27" s="15">
        <v>0</v>
      </c>
      <c r="P27" s="14">
        <v>31.76</v>
      </c>
      <c r="Q27" s="15">
        <v>0</v>
      </c>
      <c r="R27" s="14">
        <v>14.94</v>
      </c>
      <c r="S27" s="15">
        <v>0</v>
      </c>
      <c r="T27" s="14">
        <v>2.02</v>
      </c>
      <c r="U27" s="15">
        <v>0</v>
      </c>
      <c r="V27" s="14">
        <v>984.21</v>
      </c>
      <c r="W27" s="15">
        <v>0</v>
      </c>
      <c r="X27" s="14" t="s">
        <v>284</v>
      </c>
      <c r="Y27" s="15">
        <v>0</v>
      </c>
      <c r="Z27" s="14" t="s">
        <v>592</v>
      </c>
      <c r="AA27" s="15">
        <v>0</v>
      </c>
      <c r="AB27" s="14" t="s">
        <v>284</v>
      </c>
      <c r="AC27" s="15">
        <v>0</v>
      </c>
      <c r="AD27" s="14" t="s">
        <v>284</v>
      </c>
      <c r="AE27" s="15">
        <v>0</v>
      </c>
      <c r="AF27" s="14" t="s">
        <v>284</v>
      </c>
      <c r="AG27" s="15">
        <v>0</v>
      </c>
    </row>
    <row r="28" spans="1:33" x14ac:dyDescent="0.2">
      <c r="A28" s="2" t="s">
        <v>3</v>
      </c>
      <c r="B28" s="3" t="s">
        <v>35</v>
      </c>
      <c r="C28" s="2" t="s">
        <v>89</v>
      </c>
      <c r="D28" s="6" t="s">
        <v>146</v>
      </c>
      <c r="E28" s="12" t="s">
        <v>0</v>
      </c>
      <c r="F28" s="14" t="s">
        <v>587</v>
      </c>
      <c r="G28" s="15">
        <v>0</v>
      </c>
      <c r="H28" s="14" t="s">
        <v>284</v>
      </c>
      <c r="I28" s="15">
        <v>0</v>
      </c>
      <c r="J28" s="14" t="s">
        <v>284</v>
      </c>
      <c r="K28" s="15">
        <v>0</v>
      </c>
      <c r="L28" s="14" t="s">
        <v>284</v>
      </c>
      <c r="M28" s="15">
        <v>0</v>
      </c>
      <c r="N28" s="14" t="s">
        <v>560</v>
      </c>
      <c r="O28" s="15">
        <v>0</v>
      </c>
      <c r="P28" s="14">
        <v>14.12</v>
      </c>
      <c r="Q28" s="15">
        <v>0</v>
      </c>
      <c r="R28" s="14" t="s">
        <v>561</v>
      </c>
      <c r="S28" s="15">
        <v>0</v>
      </c>
      <c r="T28" s="14" t="s">
        <v>591</v>
      </c>
      <c r="U28" s="15">
        <v>0</v>
      </c>
      <c r="V28" s="14">
        <v>401.64</v>
      </c>
      <c r="W28" s="15">
        <v>0</v>
      </c>
      <c r="X28" s="14" t="s">
        <v>284</v>
      </c>
      <c r="Y28" s="15">
        <v>0</v>
      </c>
      <c r="Z28" s="14" t="s">
        <v>592</v>
      </c>
      <c r="AA28" s="15">
        <v>0</v>
      </c>
      <c r="AB28" s="14" t="s">
        <v>284</v>
      </c>
      <c r="AC28" s="15">
        <v>0</v>
      </c>
      <c r="AD28" s="14" t="s">
        <v>284</v>
      </c>
      <c r="AE28" s="15">
        <v>0</v>
      </c>
      <c r="AF28" s="14" t="s">
        <v>284</v>
      </c>
      <c r="AG28" s="15">
        <v>0</v>
      </c>
    </row>
    <row r="29" spans="1:33" x14ac:dyDescent="0.2">
      <c r="A29" s="2" t="s">
        <v>3</v>
      </c>
      <c r="B29" s="3" t="s">
        <v>35</v>
      </c>
      <c r="C29" s="2" t="s">
        <v>88</v>
      </c>
      <c r="D29" s="6" t="s">
        <v>147</v>
      </c>
      <c r="E29" s="12" t="s">
        <v>0</v>
      </c>
      <c r="F29" s="14" t="s">
        <v>587</v>
      </c>
      <c r="G29" s="15">
        <v>0</v>
      </c>
      <c r="H29" s="14" t="s">
        <v>284</v>
      </c>
      <c r="I29" s="15">
        <v>0</v>
      </c>
      <c r="J29" s="14" t="s">
        <v>284</v>
      </c>
      <c r="K29" s="15">
        <v>0</v>
      </c>
      <c r="L29" s="14" t="s">
        <v>284</v>
      </c>
      <c r="M29" s="15">
        <v>0</v>
      </c>
      <c r="N29" s="14" t="s">
        <v>560</v>
      </c>
      <c r="O29" s="15">
        <v>0</v>
      </c>
      <c r="P29" s="14" t="s">
        <v>589</v>
      </c>
      <c r="Q29" s="15">
        <v>0</v>
      </c>
      <c r="R29" s="14">
        <v>68.28</v>
      </c>
      <c r="S29" s="15">
        <v>0</v>
      </c>
      <c r="T29" s="14" t="s">
        <v>591</v>
      </c>
      <c r="U29" s="15">
        <v>0</v>
      </c>
      <c r="V29" s="14">
        <v>966.84</v>
      </c>
      <c r="W29" s="15">
        <v>0</v>
      </c>
      <c r="X29" s="14" t="s">
        <v>284</v>
      </c>
      <c r="Y29" s="15">
        <v>0</v>
      </c>
      <c r="Z29" s="14" t="s">
        <v>564</v>
      </c>
      <c r="AA29" s="15">
        <v>0</v>
      </c>
      <c r="AB29" s="14" t="s">
        <v>284</v>
      </c>
      <c r="AC29" s="15">
        <v>0</v>
      </c>
      <c r="AD29" s="14" t="s">
        <v>284</v>
      </c>
      <c r="AE29" s="15">
        <v>0</v>
      </c>
      <c r="AF29" s="14" t="s">
        <v>284</v>
      </c>
      <c r="AG29" s="15">
        <v>0</v>
      </c>
    </row>
    <row r="30" spans="1:33" x14ac:dyDescent="0.2">
      <c r="A30" s="2" t="s">
        <v>3</v>
      </c>
      <c r="B30" s="3" t="s">
        <v>35</v>
      </c>
      <c r="C30" s="2" t="s">
        <v>87</v>
      </c>
      <c r="D30" s="6" t="s">
        <v>148</v>
      </c>
      <c r="E30" s="12" t="s">
        <v>0</v>
      </c>
      <c r="F30" s="14" t="s">
        <v>587</v>
      </c>
      <c r="G30" s="15">
        <v>0</v>
      </c>
      <c r="H30" s="14" t="s">
        <v>284</v>
      </c>
      <c r="I30" s="15">
        <v>0</v>
      </c>
      <c r="J30" s="14" t="s">
        <v>284</v>
      </c>
      <c r="K30" s="15">
        <v>0</v>
      </c>
      <c r="L30" s="14" t="s">
        <v>284</v>
      </c>
      <c r="M30" s="15">
        <v>0</v>
      </c>
      <c r="N30" s="14" t="s">
        <v>588</v>
      </c>
      <c r="O30" s="15">
        <v>0</v>
      </c>
      <c r="P30" s="14" t="s">
        <v>589</v>
      </c>
      <c r="Q30" s="15">
        <v>0</v>
      </c>
      <c r="R30" s="14">
        <v>8.52</v>
      </c>
      <c r="S30" s="15">
        <v>0</v>
      </c>
      <c r="T30" s="14" t="s">
        <v>591</v>
      </c>
      <c r="U30" s="15">
        <v>0</v>
      </c>
      <c r="V30" s="14">
        <v>760.45</v>
      </c>
      <c r="W30" s="15">
        <v>0</v>
      </c>
      <c r="X30" s="14" t="s">
        <v>284</v>
      </c>
      <c r="Y30" s="15">
        <v>0</v>
      </c>
      <c r="Z30" s="14" t="s">
        <v>592</v>
      </c>
      <c r="AA30" s="15">
        <v>0</v>
      </c>
      <c r="AB30" s="14" t="s">
        <v>284</v>
      </c>
      <c r="AC30" s="15">
        <v>0</v>
      </c>
      <c r="AD30" s="14" t="s">
        <v>284</v>
      </c>
      <c r="AE30" s="15">
        <v>0</v>
      </c>
      <c r="AF30" s="14" t="s">
        <v>284</v>
      </c>
      <c r="AG30" s="15">
        <v>0</v>
      </c>
    </row>
    <row r="31" spans="1:33" x14ac:dyDescent="0.2">
      <c r="A31" s="2" t="s">
        <v>3</v>
      </c>
      <c r="B31" s="3" t="s">
        <v>35</v>
      </c>
      <c r="C31" s="2" t="s">
        <v>86</v>
      </c>
      <c r="D31" s="6" t="s">
        <v>149</v>
      </c>
      <c r="E31" s="12" t="s">
        <v>0</v>
      </c>
      <c r="F31" s="14" t="s">
        <v>587</v>
      </c>
      <c r="G31" s="15">
        <v>0</v>
      </c>
      <c r="H31" s="14" t="s">
        <v>284</v>
      </c>
      <c r="I31" s="15">
        <v>0</v>
      </c>
      <c r="J31" s="14" t="s">
        <v>284</v>
      </c>
      <c r="K31" s="15">
        <v>0</v>
      </c>
      <c r="L31" s="14" t="s">
        <v>284</v>
      </c>
      <c r="M31" s="15">
        <v>0</v>
      </c>
      <c r="N31" s="14" t="s">
        <v>588</v>
      </c>
      <c r="O31" s="15">
        <v>0</v>
      </c>
      <c r="P31" s="14" t="s">
        <v>589</v>
      </c>
      <c r="Q31" s="15">
        <v>0</v>
      </c>
      <c r="R31" s="14" t="s">
        <v>565</v>
      </c>
      <c r="S31" s="15">
        <v>0</v>
      </c>
      <c r="T31" s="14" t="s">
        <v>591</v>
      </c>
      <c r="U31" s="15">
        <v>0</v>
      </c>
      <c r="V31" s="14">
        <v>553.75</v>
      </c>
      <c r="W31" s="15">
        <v>0</v>
      </c>
      <c r="X31" s="14" t="s">
        <v>284</v>
      </c>
      <c r="Y31" s="15">
        <v>0</v>
      </c>
      <c r="Z31" s="14" t="s">
        <v>592</v>
      </c>
      <c r="AA31" s="15">
        <v>0</v>
      </c>
      <c r="AB31" s="14" t="s">
        <v>284</v>
      </c>
      <c r="AC31" s="15">
        <v>0</v>
      </c>
      <c r="AD31" s="14" t="s">
        <v>284</v>
      </c>
      <c r="AE31" s="15">
        <v>0</v>
      </c>
      <c r="AF31" s="14" t="s">
        <v>284</v>
      </c>
      <c r="AG31" s="15">
        <v>0</v>
      </c>
    </row>
    <row r="32" spans="1:33" x14ac:dyDescent="0.2">
      <c r="A32" s="2" t="s">
        <v>3</v>
      </c>
      <c r="B32" s="3" t="s">
        <v>35</v>
      </c>
      <c r="C32" s="2" t="s">
        <v>85</v>
      </c>
      <c r="D32" s="6" t="s">
        <v>150</v>
      </c>
      <c r="E32" s="12" t="s">
        <v>0</v>
      </c>
      <c r="F32" s="14" t="s">
        <v>587</v>
      </c>
      <c r="G32" s="15">
        <v>0</v>
      </c>
      <c r="H32" s="14" t="s">
        <v>284</v>
      </c>
      <c r="I32" s="15">
        <v>0</v>
      </c>
      <c r="J32" s="14" t="s">
        <v>284</v>
      </c>
      <c r="K32" s="15">
        <v>0</v>
      </c>
      <c r="L32" s="14" t="s">
        <v>284</v>
      </c>
      <c r="M32" s="15">
        <v>0</v>
      </c>
      <c r="N32" s="14" t="s">
        <v>560</v>
      </c>
      <c r="O32" s="15">
        <v>0</v>
      </c>
      <c r="P32" s="14">
        <v>148.62</v>
      </c>
      <c r="Q32" s="15">
        <v>0</v>
      </c>
      <c r="R32" s="14">
        <v>34.6</v>
      </c>
      <c r="S32" s="15">
        <v>0</v>
      </c>
      <c r="T32" s="14">
        <v>195.65</v>
      </c>
      <c r="U32" s="15">
        <v>0</v>
      </c>
      <c r="V32" s="14">
        <v>2079.09</v>
      </c>
      <c r="W32" s="15">
        <v>0</v>
      </c>
      <c r="X32" s="14" t="s">
        <v>284</v>
      </c>
      <c r="Y32" s="15">
        <v>0</v>
      </c>
      <c r="Z32" s="14" t="s">
        <v>592</v>
      </c>
      <c r="AA32" s="15">
        <v>0</v>
      </c>
      <c r="AB32" s="14" t="s">
        <v>284</v>
      </c>
      <c r="AC32" s="15">
        <v>0</v>
      </c>
      <c r="AD32" s="14" t="s">
        <v>284</v>
      </c>
      <c r="AE32" s="15">
        <v>0</v>
      </c>
      <c r="AF32" s="14" t="s">
        <v>284</v>
      </c>
      <c r="AG32" s="15">
        <v>0</v>
      </c>
    </row>
    <row r="33" spans="1:33" x14ac:dyDescent="0.2">
      <c r="A33" s="2" t="s">
        <v>3</v>
      </c>
      <c r="B33" s="3" t="s">
        <v>35</v>
      </c>
      <c r="C33" s="2" t="s">
        <v>84</v>
      </c>
      <c r="D33" s="6" t="s">
        <v>151</v>
      </c>
      <c r="E33" s="12" t="s">
        <v>0</v>
      </c>
      <c r="F33" s="14" t="s">
        <v>587</v>
      </c>
      <c r="G33" s="15">
        <v>0</v>
      </c>
      <c r="H33" s="14" t="s">
        <v>284</v>
      </c>
      <c r="I33" s="15">
        <v>0</v>
      </c>
      <c r="J33" s="14" t="s">
        <v>284</v>
      </c>
      <c r="K33" s="15">
        <v>0</v>
      </c>
      <c r="L33" s="14" t="s">
        <v>284</v>
      </c>
      <c r="M33" s="15">
        <v>0</v>
      </c>
      <c r="N33" s="14">
        <v>9.36</v>
      </c>
      <c r="O33" s="15">
        <v>0</v>
      </c>
      <c r="P33" s="14">
        <v>36.630000000000003</v>
      </c>
      <c r="Q33" s="15">
        <v>0</v>
      </c>
      <c r="R33" s="14">
        <v>123.52</v>
      </c>
      <c r="S33" s="15">
        <v>0</v>
      </c>
      <c r="T33" s="14">
        <v>32.6</v>
      </c>
      <c r="U33" s="15">
        <v>0</v>
      </c>
      <c r="V33" s="14">
        <v>2612.85</v>
      </c>
      <c r="W33" s="15">
        <v>0</v>
      </c>
      <c r="X33" s="14" t="s">
        <v>284</v>
      </c>
      <c r="Y33" s="15">
        <v>0</v>
      </c>
      <c r="Z33" s="14" t="s">
        <v>592</v>
      </c>
      <c r="AA33" s="15">
        <v>0</v>
      </c>
      <c r="AB33" s="14" t="s">
        <v>284</v>
      </c>
      <c r="AC33" s="15">
        <v>0</v>
      </c>
      <c r="AD33" s="14" t="s">
        <v>284</v>
      </c>
      <c r="AE33" s="15">
        <v>0</v>
      </c>
      <c r="AF33" s="14" t="s">
        <v>284</v>
      </c>
      <c r="AG33" s="15">
        <v>0</v>
      </c>
    </row>
    <row r="34" spans="1:33" x14ac:dyDescent="0.2">
      <c r="A34" s="2" t="s">
        <v>3</v>
      </c>
      <c r="B34" s="3" t="s">
        <v>35</v>
      </c>
      <c r="C34" s="2" t="s">
        <v>83</v>
      </c>
      <c r="D34" s="6" t="s">
        <v>152</v>
      </c>
      <c r="E34" s="12" t="s">
        <v>0</v>
      </c>
      <c r="F34" s="14" t="s">
        <v>587</v>
      </c>
      <c r="G34" s="15">
        <v>0</v>
      </c>
      <c r="H34" s="14" t="s">
        <v>284</v>
      </c>
      <c r="I34" s="15">
        <v>0</v>
      </c>
      <c r="J34" s="14" t="s">
        <v>284</v>
      </c>
      <c r="K34" s="15">
        <v>0</v>
      </c>
      <c r="L34" s="14" t="s">
        <v>284</v>
      </c>
      <c r="M34" s="15">
        <v>0</v>
      </c>
      <c r="N34" s="14">
        <v>9.36</v>
      </c>
      <c r="O34" s="15">
        <v>0</v>
      </c>
      <c r="P34" s="14">
        <v>645.66999999999996</v>
      </c>
      <c r="Q34" s="15">
        <v>0</v>
      </c>
      <c r="R34" s="14">
        <v>38.44</v>
      </c>
      <c r="S34" s="15">
        <v>0</v>
      </c>
      <c r="T34" s="14">
        <v>22.74</v>
      </c>
      <c r="U34" s="15">
        <v>0</v>
      </c>
      <c r="V34" s="14">
        <v>391.24</v>
      </c>
      <c r="W34" s="15">
        <v>0</v>
      </c>
      <c r="X34" s="14" t="s">
        <v>284</v>
      </c>
      <c r="Y34" s="15">
        <v>0</v>
      </c>
      <c r="Z34" s="14" t="s">
        <v>592</v>
      </c>
      <c r="AA34" s="15">
        <v>0</v>
      </c>
      <c r="AB34" s="14" t="s">
        <v>284</v>
      </c>
      <c r="AC34" s="15">
        <v>0</v>
      </c>
      <c r="AD34" s="14" t="s">
        <v>284</v>
      </c>
      <c r="AE34" s="15">
        <v>0</v>
      </c>
      <c r="AF34" s="14" t="s">
        <v>284</v>
      </c>
      <c r="AG34" s="15">
        <v>0</v>
      </c>
    </row>
    <row r="35" spans="1:33" x14ac:dyDescent="0.2">
      <c r="A35" s="2" t="s">
        <v>3</v>
      </c>
      <c r="B35" s="3" t="s">
        <v>35</v>
      </c>
      <c r="C35" s="2" t="s">
        <v>82</v>
      </c>
      <c r="D35" s="6" t="s">
        <v>153</v>
      </c>
      <c r="E35" s="12" t="s">
        <v>0</v>
      </c>
      <c r="F35" s="14" t="s">
        <v>587</v>
      </c>
      <c r="G35" s="15">
        <v>0</v>
      </c>
      <c r="H35" s="14" t="s">
        <v>284</v>
      </c>
      <c r="I35" s="15">
        <v>0</v>
      </c>
      <c r="J35" s="14" t="s">
        <v>284</v>
      </c>
      <c r="K35" s="15">
        <v>0</v>
      </c>
      <c r="L35" s="14" t="s">
        <v>284</v>
      </c>
      <c r="M35" s="15">
        <v>0</v>
      </c>
      <c r="N35" s="14" t="s">
        <v>588</v>
      </c>
      <c r="O35" s="15">
        <v>0</v>
      </c>
      <c r="P35" s="14">
        <v>59.92</v>
      </c>
      <c r="Q35" s="15">
        <v>0</v>
      </c>
      <c r="R35" s="14">
        <v>44.69</v>
      </c>
      <c r="S35" s="15">
        <v>0</v>
      </c>
      <c r="T35" s="14">
        <v>18.989999999999998</v>
      </c>
      <c r="U35" s="15">
        <v>0</v>
      </c>
      <c r="V35" s="14">
        <v>1411.33</v>
      </c>
      <c r="W35" s="15">
        <v>0</v>
      </c>
      <c r="X35" s="14" t="s">
        <v>284</v>
      </c>
      <c r="Y35" s="15">
        <v>0</v>
      </c>
      <c r="Z35" s="14" t="s">
        <v>592</v>
      </c>
      <c r="AA35" s="15">
        <v>0</v>
      </c>
      <c r="AB35" s="14" t="s">
        <v>284</v>
      </c>
      <c r="AC35" s="15">
        <v>0</v>
      </c>
      <c r="AD35" s="14" t="s">
        <v>284</v>
      </c>
      <c r="AE35" s="15">
        <v>0</v>
      </c>
      <c r="AF35" s="14" t="s">
        <v>284</v>
      </c>
      <c r="AG35" s="15">
        <v>0</v>
      </c>
    </row>
    <row r="36" spans="1:33" x14ac:dyDescent="0.2">
      <c r="A36" s="2" t="s">
        <v>3</v>
      </c>
      <c r="B36" s="3" t="s">
        <v>35</v>
      </c>
      <c r="C36" s="2" t="s">
        <v>81</v>
      </c>
      <c r="D36" s="6" t="s">
        <v>154</v>
      </c>
      <c r="E36" s="12" t="s">
        <v>0</v>
      </c>
      <c r="F36" s="14" t="s">
        <v>587</v>
      </c>
      <c r="G36" s="15">
        <v>0</v>
      </c>
      <c r="H36" s="14" t="s">
        <v>284</v>
      </c>
      <c r="I36" s="15">
        <v>0</v>
      </c>
      <c r="J36" s="14" t="s">
        <v>284</v>
      </c>
      <c r="K36" s="15">
        <v>0</v>
      </c>
      <c r="L36" s="14" t="s">
        <v>284</v>
      </c>
      <c r="M36" s="15">
        <v>0</v>
      </c>
      <c r="N36" s="14" t="s">
        <v>588</v>
      </c>
      <c r="O36" s="15">
        <v>0</v>
      </c>
      <c r="P36" s="14">
        <v>32.46</v>
      </c>
      <c r="Q36" s="15">
        <v>0</v>
      </c>
      <c r="R36" s="14">
        <v>9.42</v>
      </c>
      <c r="S36" s="15">
        <v>0</v>
      </c>
      <c r="T36" s="14" t="s">
        <v>591</v>
      </c>
      <c r="U36" s="15">
        <v>0</v>
      </c>
      <c r="V36" s="14">
        <v>1058.3800000000001</v>
      </c>
      <c r="W36" s="15">
        <v>0</v>
      </c>
      <c r="X36" s="14" t="s">
        <v>284</v>
      </c>
      <c r="Y36" s="15">
        <v>0</v>
      </c>
      <c r="Z36" s="14" t="s">
        <v>592</v>
      </c>
      <c r="AA36" s="15">
        <v>0</v>
      </c>
      <c r="AB36" s="14" t="s">
        <v>284</v>
      </c>
      <c r="AC36" s="15">
        <v>0</v>
      </c>
      <c r="AD36" s="14" t="s">
        <v>284</v>
      </c>
      <c r="AE36" s="15">
        <v>0</v>
      </c>
      <c r="AF36" s="14" t="s">
        <v>284</v>
      </c>
      <c r="AG36" s="15">
        <v>0</v>
      </c>
    </row>
    <row r="37" spans="1:33" x14ac:dyDescent="0.2">
      <c r="A37" s="2" t="s">
        <v>3</v>
      </c>
      <c r="B37" s="3" t="s">
        <v>35</v>
      </c>
      <c r="C37" s="2" t="s">
        <v>80</v>
      </c>
      <c r="D37" s="6" t="s">
        <v>155</v>
      </c>
      <c r="E37" s="12" t="s">
        <v>0</v>
      </c>
      <c r="F37" s="14" t="s">
        <v>587</v>
      </c>
      <c r="G37" s="15">
        <v>0</v>
      </c>
      <c r="H37" s="14" t="s">
        <v>284</v>
      </c>
      <c r="I37" s="15">
        <v>0</v>
      </c>
      <c r="J37" s="14" t="s">
        <v>284</v>
      </c>
      <c r="K37" s="15">
        <v>0</v>
      </c>
      <c r="L37" s="14" t="s">
        <v>284</v>
      </c>
      <c r="M37" s="15">
        <v>0</v>
      </c>
      <c r="N37" s="14" t="s">
        <v>558</v>
      </c>
      <c r="O37" s="15">
        <v>0</v>
      </c>
      <c r="P37" s="14" t="s">
        <v>589</v>
      </c>
      <c r="Q37" s="15">
        <v>0</v>
      </c>
      <c r="R37" s="14" t="s">
        <v>566</v>
      </c>
      <c r="S37" s="15">
        <v>0</v>
      </c>
      <c r="T37" s="14" t="s">
        <v>591</v>
      </c>
      <c r="U37" s="15">
        <v>0</v>
      </c>
      <c r="V37" s="14">
        <v>294.93</v>
      </c>
      <c r="W37" s="15">
        <v>0</v>
      </c>
      <c r="X37" s="14" t="s">
        <v>284</v>
      </c>
      <c r="Y37" s="15">
        <v>0</v>
      </c>
      <c r="Z37" s="14" t="s">
        <v>592</v>
      </c>
      <c r="AA37" s="15">
        <v>0</v>
      </c>
      <c r="AB37" s="14" t="s">
        <v>284</v>
      </c>
      <c r="AC37" s="15">
        <v>0</v>
      </c>
      <c r="AD37" s="14" t="s">
        <v>284</v>
      </c>
      <c r="AE37" s="15">
        <v>0</v>
      </c>
      <c r="AF37" s="14" t="s">
        <v>284</v>
      </c>
      <c r="AG37" s="15">
        <v>0</v>
      </c>
    </row>
    <row r="38" spans="1:33" x14ac:dyDescent="0.2">
      <c r="A38" s="2" t="s">
        <v>3</v>
      </c>
      <c r="B38" s="3" t="s">
        <v>35</v>
      </c>
      <c r="C38" s="2" t="s">
        <v>79</v>
      </c>
      <c r="D38" s="6" t="s">
        <v>156</v>
      </c>
      <c r="E38" s="12" t="s">
        <v>0</v>
      </c>
      <c r="F38" s="14" t="s">
        <v>587</v>
      </c>
      <c r="G38" s="15">
        <v>0</v>
      </c>
      <c r="H38" s="14" t="s">
        <v>284</v>
      </c>
      <c r="I38" s="15">
        <v>0</v>
      </c>
      <c r="J38" s="14" t="s">
        <v>284</v>
      </c>
      <c r="K38" s="15">
        <v>0</v>
      </c>
      <c r="L38" s="14" t="s">
        <v>284</v>
      </c>
      <c r="M38" s="15">
        <v>0</v>
      </c>
      <c r="N38" s="14" t="s">
        <v>588</v>
      </c>
      <c r="O38" s="15">
        <v>0</v>
      </c>
      <c r="P38" s="14">
        <v>36.630000000000003</v>
      </c>
      <c r="Q38" s="15">
        <v>0</v>
      </c>
      <c r="R38" s="14">
        <v>12.03</v>
      </c>
      <c r="S38" s="15">
        <v>0</v>
      </c>
      <c r="T38" s="14" t="s">
        <v>591</v>
      </c>
      <c r="U38" s="15">
        <v>0</v>
      </c>
      <c r="V38" s="14">
        <v>362.9</v>
      </c>
      <c r="W38" s="15">
        <v>0</v>
      </c>
      <c r="X38" s="14" t="s">
        <v>284</v>
      </c>
      <c r="Y38" s="15">
        <v>0</v>
      </c>
      <c r="Z38" s="14" t="s">
        <v>592</v>
      </c>
      <c r="AA38" s="15">
        <v>0</v>
      </c>
      <c r="AB38" s="14" t="s">
        <v>284</v>
      </c>
      <c r="AC38" s="15">
        <v>0</v>
      </c>
      <c r="AD38" s="14" t="s">
        <v>284</v>
      </c>
      <c r="AE38" s="15">
        <v>0</v>
      </c>
      <c r="AF38" s="14" t="s">
        <v>284</v>
      </c>
      <c r="AG38" s="15">
        <v>0</v>
      </c>
    </row>
    <row r="39" spans="1:33" x14ac:dyDescent="0.2">
      <c r="A39" s="2" t="s">
        <v>3</v>
      </c>
      <c r="B39" s="3" t="s">
        <v>35</v>
      </c>
      <c r="C39" s="2" t="s">
        <v>78</v>
      </c>
      <c r="D39" s="6" t="s">
        <v>157</v>
      </c>
      <c r="E39" s="12" t="s">
        <v>0</v>
      </c>
      <c r="F39" s="14" t="s">
        <v>587</v>
      </c>
      <c r="G39" s="15">
        <v>0</v>
      </c>
      <c r="H39" s="14" t="s">
        <v>284</v>
      </c>
      <c r="I39" s="15">
        <v>0</v>
      </c>
      <c r="J39" s="14" t="s">
        <v>284</v>
      </c>
      <c r="K39" s="15">
        <v>0</v>
      </c>
      <c r="L39" s="14" t="s">
        <v>284</v>
      </c>
      <c r="M39" s="15">
        <v>0</v>
      </c>
      <c r="N39" s="14" t="s">
        <v>558</v>
      </c>
      <c r="O39" s="15">
        <v>0</v>
      </c>
      <c r="P39" s="14">
        <v>183.71</v>
      </c>
      <c r="Q39" s="15">
        <v>0</v>
      </c>
      <c r="R39" s="14">
        <v>14.13</v>
      </c>
      <c r="S39" s="15">
        <v>0</v>
      </c>
      <c r="T39" s="14" t="s">
        <v>567</v>
      </c>
      <c r="U39" s="15">
        <v>0</v>
      </c>
      <c r="V39" s="14">
        <v>290.2</v>
      </c>
      <c r="W39" s="15">
        <v>0</v>
      </c>
      <c r="X39" s="14" t="s">
        <v>284</v>
      </c>
      <c r="Y39" s="15">
        <v>0</v>
      </c>
      <c r="Z39" s="14" t="s">
        <v>592</v>
      </c>
      <c r="AA39" s="15">
        <v>0</v>
      </c>
      <c r="AB39" s="14" t="s">
        <v>284</v>
      </c>
      <c r="AC39" s="15">
        <v>0</v>
      </c>
      <c r="AD39" s="14" t="s">
        <v>284</v>
      </c>
      <c r="AE39" s="15">
        <v>0</v>
      </c>
      <c r="AF39" s="14" t="s">
        <v>284</v>
      </c>
      <c r="AG39" s="15">
        <v>0</v>
      </c>
    </row>
    <row r="40" spans="1:33" x14ac:dyDescent="0.2">
      <c r="A40" s="2" t="s">
        <v>3</v>
      </c>
      <c r="B40" s="3" t="s">
        <v>35</v>
      </c>
      <c r="C40" s="2" t="s">
        <v>77</v>
      </c>
      <c r="D40" s="6" t="s">
        <v>158</v>
      </c>
      <c r="E40" s="12" t="s">
        <v>0</v>
      </c>
      <c r="F40" s="14" t="s">
        <v>587</v>
      </c>
      <c r="G40" s="15">
        <v>0</v>
      </c>
      <c r="H40" s="14" t="s">
        <v>284</v>
      </c>
      <c r="I40" s="15">
        <v>0</v>
      </c>
      <c r="J40" s="14" t="s">
        <v>284</v>
      </c>
      <c r="K40" s="15">
        <v>0</v>
      </c>
      <c r="L40" s="14" t="s">
        <v>284</v>
      </c>
      <c r="M40" s="15">
        <v>0</v>
      </c>
      <c r="N40" s="14" t="s">
        <v>588</v>
      </c>
      <c r="O40" s="15">
        <v>0</v>
      </c>
      <c r="P40" s="14">
        <v>63.78</v>
      </c>
      <c r="Q40" s="15">
        <v>0</v>
      </c>
      <c r="R40" s="14">
        <v>23.43</v>
      </c>
      <c r="S40" s="15">
        <v>0</v>
      </c>
      <c r="T40" s="14" t="s">
        <v>568</v>
      </c>
      <c r="U40" s="15">
        <v>0</v>
      </c>
      <c r="V40" s="14">
        <v>646.19000000000005</v>
      </c>
      <c r="W40" s="15">
        <v>0</v>
      </c>
      <c r="X40" s="14" t="s">
        <v>284</v>
      </c>
      <c r="Y40" s="15">
        <v>0</v>
      </c>
      <c r="Z40" s="14" t="s">
        <v>592</v>
      </c>
      <c r="AA40" s="15">
        <v>0</v>
      </c>
      <c r="AB40" s="14" t="s">
        <v>284</v>
      </c>
      <c r="AC40" s="15">
        <v>0</v>
      </c>
      <c r="AD40" s="14" t="s">
        <v>284</v>
      </c>
      <c r="AE40" s="15">
        <v>0</v>
      </c>
      <c r="AF40" s="14" t="s">
        <v>284</v>
      </c>
      <c r="AG40" s="15">
        <v>0</v>
      </c>
    </row>
    <row r="41" spans="1:33" x14ac:dyDescent="0.2">
      <c r="A41" s="2" t="s">
        <v>3</v>
      </c>
      <c r="B41" s="3" t="s">
        <v>35</v>
      </c>
      <c r="C41" s="2" t="s">
        <v>76</v>
      </c>
      <c r="D41" s="6" t="s">
        <v>159</v>
      </c>
      <c r="E41" s="12" t="s">
        <v>0</v>
      </c>
      <c r="F41" s="14" t="s">
        <v>587</v>
      </c>
      <c r="G41" s="15">
        <v>0</v>
      </c>
      <c r="H41" s="14" t="s">
        <v>284</v>
      </c>
      <c r="I41" s="15">
        <v>0</v>
      </c>
      <c r="J41" s="14" t="s">
        <v>284</v>
      </c>
      <c r="K41" s="15">
        <v>0</v>
      </c>
      <c r="L41" s="14" t="s">
        <v>284</v>
      </c>
      <c r="M41" s="15">
        <v>0</v>
      </c>
      <c r="N41" s="14" t="s">
        <v>558</v>
      </c>
      <c r="O41" s="15">
        <v>0</v>
      </c>
      <c r="P41" s="14">
        <v>591.79</v>
      </c>
      <c r="Q41" s="15">
        <v>0</v>
      </c>
      <c r="R41" s="14">
        <v>152.01</v>
      </c>
      <c r="S41" s="15">
        <v>0</v>
      </c>
      <c r="T41" s="14">
        <v>320.95</v>
      </c>
      <c r="U41" s="15">
        <v>0</v>
      </c>
      <c r="V41" s="14">
        <v>2976.73</v>
      </c>
      <c r="W41" s="15">
        <v>0</v>
      </c>
      <c r="X41" s="14" t="s">
        <v>284</v>
      </c>
      <c r="Y41" s="15">
        <v>0</v>
      </c>
      <c r="Z41" s="14" t="s">
        <v>592</v>
      </c>
      <c r="AA41" s="15">
        <v>0</v>
      </c>
      <c r="AB41" s="14" t="s">
        <v>284</v>
      </c>
      <c r="AC41" s="15">
        <v>0</v>
      </c>
      <c r="AD41" s="14" t="s">
        <v>284</v>
      </c>
      <c r="AE41" s="15">
        <v>0</v>
      </c>
      <c r="AF41" s="14" t="s">
        <v>284</v>
      </c>
      <c r="AG41" s="15">
        <v>0</v>
      </c>
    </row>
    <row r="42" spans="1:33" x14ac:dyDescent="0.2">
      <c r="A42" s="2" t="s">
        <v>3</v>
      </c>
      <c r="B42" s="3" t="s">
        <v>35</v>
      </c>
      <c r="C42" s="2" t="s">
        <v>75</v>
      </c>
      <c r="D42" s="6" t="s">
        <v>160</v>
      </c>
      <c r="E42" s="12" t="s">
        <v>0</v>
      </c>
      <c r="F42" s="14" t="s">
        <v>587</v>
      </c>
      <c r="G42" s="15">
        <v>0</v>
      </c>
      <c r="H42" s="14" t="s">
        <v>284</v>
      </c>
      <c r="I42" s="15">
        <v>0</v>
      </c>
      <c r="J42" s="14" t="s">
        <v>284</v>
      </c>
      <c r="K42" s="15">
        <v>0</v>
      </c>
      <c r="L42" s="14" t="s">
        <v>284</v>
      </c>
      <c r="M42" s="15">
        <v>0</v>
      </c>
      <c r="N42" s="14" t="s">
        <v>560</v>
      </c>
      <c r="O42" s="15">
        <v>0</v>
      </c>
      <c r="P42" s="14">
        <v>17.2</v>
      </c>
      <c r="Q42" s="15">
        <v>0</v>
      </c>
      <c r="R42" s="14">
        <v>17.510000000000002</v>
      </c>
      <c r="S42" s="15">
        <v>0</v>
      </c>
      <c r="T42" s="14">
        <v>3.88</v>
      </c>
      <c r="U42" s="15">
        <v>0</v>
      </c>
      <c r="V42" s="14">
        <v>867.75</v>
      </c>
      <c r="W42" s="15">
        <v>0</v>
      </c>
      <c r="X42" s="14" t="s">
        <v>284</v>
      </c>
      <c r="Y42" s="15">
        <v>0</v>
      </c>
      <c r="Z42" s="14" t="s">
        <v>592</v>
      </c>
      <c r="AA42" s="15">
        <v>0</v>
      </c>
      <c r="AB42" s="14" t="s">
        <v>284</v>
      </c>
      <c r="AC42" s="15">
        <v>0</v>
      </c>
      <c r="AD42" s="14" t="s">
        <v>284</v>
      </c>
      <c r="AE42" s="15">
        <v>0</v>
      </c>
      <c r="AF42" s="14" t="s">
        <v>284</v>
      </c>
      <c r="AG42" s="15">
        <v>0</v>
      </c>
    </row>
    <row r="43" spans="1:33" x14ac:dyDescent="0.2">
      <c r="A43" s="2" t="s">
        <v>3</v>
      </c>
      <c r="B43" s="3" t="s">
        <v>35</v>
      </c>
      <c r="C43" s="2" t="s">
        <v>74</v>
      </c>
      <c r="D43" s="6" t="s">
        <v>161</v>
      </c>
      <c r="E43" s="12" t="s">
        <v>0</v>
      </c>
      <c r="F43" s="14" t="s">
        <v>587</v>
      </c>
      <c r="G43" s="15">
        <v>0</v>
      </c>
      <c r="H43" s="14" t="s">
        <v>284</v>
      </c>
      <c r="I43" s="15">
        <v>0</v>
      </c>
      <c r="J43" s="14" t="s">
        <v>284</v>
      </c>
      <c r="K43" s="15">
        <v>0</v>
      </c>
      <c r="L43" s="14" t="s">
        <v>284</v>
      </c>
      <c r="M43" s="15">
        <v>0</v>
      </c>
      <c r="N43" s="14">
        <v>9.36</v>
      </c>
      <c r="O43" s="15">
        <v>0</v>
      </c>
      <c r="P43" s="14">
        <v>91.91</v>
      </c>
      <c r="Q43" s="15">
        <v>0</v>
      </c>
      <c r="R43" s="14">
        <v>21.35</v>
      </c>
      <c r="S43" s="15">
        <v>0</v>
      </c>
      <c r="T43" s="14">
        <v>2.52</v>
      </c>
      <c r="U43" s="15">
        <v>0</v>
      </c>
      <c r="V43" s="14">
        <v>415.83</v>
      </c>
      <c r="W43" s="15">
        <v>0</v>
      </c>
      <c r="X43" s="14" t="s">
        <v>284</v>
      </c>
      <c r="Y43" s="15">
        <v>0</v>
      </c>
      <c r="Z43" s="14" t="s">
        <v>592</v>
      </c>
      <c r="AA43" s="15">
        <v>0</v>
      </c>
      <c r="AB43" s="14" t="s">
        <v>284</v>
      </c>
      <c r="AC43" s="15">
        <v>0</v>
      </c>
      <c r="AD43" s="14" t="s">
        <v>284</v>
      </c>
      <c r="AE43" s="15">
        <v>0</v>
      </c>
      <c r="AF43" s="14" t="s">
        <v>284</v>
      </c>
      <c r="AG43" s="15">
        <v>0</v>
      </c>
    </row>
    <row r="44" spans="1:33" x14ac:dyDescent="0.2">
      <c r="A44" s="2" t="s">
        <v>3</v>
      </c>
      <c r="B44" s="3" t="s">
        <v>35</v>
      </c>
      <c r="C44" s="2" t="s">
        <v>73</v>
      </c>
      <c r="D44" s="6" t="s">
        <v>162</v>
      </c>
      <c r="E44" s="12" t="s">
        <v>0</v>
      </c>
      <c r="F44" s="14" t="s">
        <v>587</v>
      </c>
      <c r="G44" s="15">
        <v>0</v>
      </c>
      <c r="H44" s="14" t="s">
        <v>284</v>
      </c>
      <c r="I44" s="15">
        <v>0</v>
      </c>
      <c r="J44" s="14" t="s">
        <v>284</v>
      </c>
      <c r="K44" s="15">
        <v>0</v>
      </c>
      <c r="L44" s="14" t="s">
        <v>284</v>
      </c>
      <c r="M44" s="15">
        <v>0</v>
      </c>
      <c r="N44" s="14" t="s">
        <v>588</v>
      </c>
      <c r="O44" s="15">
        <v>0</v>
      </c>
      <c r="P44" s="14">
        <v>99.21</v>
      </c>
      <c r="Q44" s="15">
        <v>0</v>
      </c>
      <c r="R44" s="14">
        <v>16.55</v>
      </c>
      <c r="S44" s="15">
        <v>0</v>
      </c>
      <c r="T44" s="14" t="s">
        <v>569</v>
      </c>
      <c r="U44" s="15">
        <v>0</v>
      </c>
      <c r="V44" s="14">
        <v>784.13</v>
      </c>
      <c r="W44" s="15">
        <v>0</v>
      </c>
      <c r="X44" s="14" t="s">
        <v>284</v>
      </c>
      <c r="Y44" s="15">
        <v>0</v>
      </c>
      <c r="Z44" s="14" t="s">
        <v>592</v>
      </c>
      <c r="AA44" s="15">
        <v>0</v>
      </c>
      <c r="AB44" s="14" t="s">
        <v>284</v>
      </c>
      <c r="AC44" s="15">
        <v>0</v>
      </c>
      <c r="AD44" s="14" t="s">
        <v>284</v>
      </c>
      <c r="AE44" s="15">
        <v>0</v>
      </c>
      <c r="AF44" s="14" t="s">
        <v>284</v>
      </c>
      <c r="AG44" s="15">
        <v>0</v>
      </c>
    </row>
    <row r="45" spans="1:33" x14ac:dyDescent="0.2">
      <c r="A45" s="2" t="s">
        <v>3</v>
      </c>
      <c r="B45" s="3" t="s">
        <v>35</v>
      </c>
      <c r="C45" s="2" t="s">
        <v>72</v>
      </c>
      <c r="D45" s="6" t="s">
        <v>163</v>
      </c>
      <c r="E45" s="12" t="s">
        <v>0</v>
      </c>
      <c r="F45" s="14" t="s">
        <v>587</v>
      </c>
      <c r="G45" s="15">
        <v>0</v>
      </c>
      <c r="H45" s="14" t="s">
        <v>284</v>
      </c>
      <c r="I45" s="15">
        <v>0</v>
      </c>
      <c r="J45" s="14" t="s">
        <v>284</v>
      </c>
      <c r="K45" s="15">
        <v>0</v>
      </c>
      <c r="L45" s="14" t="s">
        <v>284</v>
      </c>
      <c r="M45" s="15">
        <v>0</v>
      </c>
      <c r="N45" s="14" t="s">
        <v>554</v>
      </c>
      <c r="O45" s="15">
        <v>0</v>
      </c>
      <c r="P45" s="14">
        <v>27.51</v>
      </c>
      <c r="Q45" s="15">
        <v>0</v>
      </c>
      <c r="R45" s="14">
        <v>6.61</v>
      </c>
      <c r="S45" s="15">
        <v>0</v>
      </c>
      <c r="T45" s="14" t="s">
        <v>591</v>
      </c>
      <c r="U45" s="15">
        <v>0</v>
      </c>
      <c r="V45" s="14">
        <v>429.08</v>
      </c>
      <c r="W45" s="15">
        <v>0</v>
      </c>
      <c r="X45" s="14" t="s">
        <v>284</v>
      </c>
      <c r="Y45" s="15">
        <v>0</v>
      </c>
      <c r="Z45" s="14" t="s">
        <v>592</v>
      </c>
      <c r="AA45" s="15">
        <v>0</v>
      </c>
      <c r="AB45" s="14" t="s">
        <v>284</v>
      </c>
      <c r="AC45" s="15">
        <v>0</v>
      </c>
      <c r="AD45" s="14" t="s">
        <v>284</v>
      </c>
      <c r="AE45" s="15">
        <v>0</v>
      </c>
      <c r="AF45" s="14" t="s">
        <v>284</v>
      </c>
      <c r="AG45" s="15">
        <v>0</v>
      </c>
    </row>
    <row r="46" spans="1:33" x14ac:dyDescent="0.2">
      <c r="A46" s="2" t="s">
        <v>3</v>
      </c>
      <c r="B46" s="3" t="s">
        <v>35</v>
      </c>
      <c r="C46" s="2" t="s">
        <v>71</v>
      </c>
      <c r="D46" s="6" t="s">
        <v>164</v>
      </c>
      <c r="E46" s="12" t="s">
        <v>0</v>
      </c>
      <c r="F46" s="14" t="s">
        <v>587</v>
      </c>
      <c r="G46" s="15">
        <v>0</v>
      </c>
      <c r="H46" s="14" t="s">
        <v>284</v>
      </c>
      <c r="I46" s="15">
        <v>0</v>
      </c>
      <c r="J46" s="14" t="s">
        <v>284</v>
      </c>
      <c r="K46" s="15">
        <v>0</v>
      </c>
      <c r="L46" s="14" t="s">
        <v>284</v>
      </c>
      <c r="M46" s="15">
        <v>0</v>
      </c>
      <c r="N46" s="14" t="s">
        <v>560</v>
      </c>
      <c r="O46" s="15">
        <v>0</v>
      </c>
      <c r="P46" s="14">
        <v>84.53</v>
      </c>
      <c r="Q46" s="15">
        <v>0</v>
      </c>
      <c r="R46" s="14">
        <v>22.95</v>
      </c>
      <c r="S46" s="15">
        <v>0</v>
      </c>
      <c r="T46" s="14" t="s">
        <v>570</v>
      </c>
      <c r="U46" s="15">
        <v>0</v>
      </c>
      <c r="V46" s="14">
        <v>288.31</v>
      </c>
      <c r="W46" s="15">
        <v>0</v>
      </c>
      <c r="X46" s="14" t="s">
        <v>284</v>
      </c>
      <c r="Y46" s="15">
        <v>0</v>
      </c>
      <c r="Z46" s="14" t="s">
        <v>592</v>
      </c>
      <c r="AA46" s="15">
        <v>0</v>
      </c>
      <c r="AB46" s="14" t="s">
        <v>284</v>
      </c>
      <c r="AC46" s="15">
        <v>0</v>
      </c>
      <c r="AD46" s="14" t="s">
        <v>284</v>
      </c>
      <c r="AE46" s="15">
        <v>0</v>
      </c>
      <c r="AF46" s="14" t="s">
        <v>284</v>
      </c>
      <c r="AG46" s="15">
        <v>0</v>
      </c>
    </row>
    <row r="47" spans="1:33" x14ac:dyDescent="0.2">
      <c r="A47" s="2" t="s">
        <v>3</v>
      </c>
      <c r="B47" s="3" t="s">
        <v>35</v>
      </c>
      <c r="C47" s="2" t="s">
        <v>70</v>
      </c>
      <c r="D47" s="6" t="s">
        <v>165</v>
      </c>
      <c r="E47" s="12" t="s">
        <v>0</v>
      </c>
      <c r="F47" s="14" t="s">
        <v>587</v>
      </c>
      <c r="G47" s="15">
        <v>0</v>
      </c>
      <c r="H47" s="14" t="s">
        <v>284</v>
      </c>
      <c r="I47" s="15">
        <v>0</v>
      </c>
      <c r="J47" s="14" t="s">
        <v>284</v>
      </c>
      <c r="K47" s="15">
        <v>0</v>
      </c>
      <c r="L47" s="14" t="s">
        <v>284</v>
      </c>
      <c r="M47" s="15">
        <v>0</v>
      </c>
      <c r="N47" s="14" t="s">
        <v>588</v>
      </c>
      <c r="O47" s="15">
        <v>0</v>
      </c>
      <c r="P47" s="14">
        <v>11.75</v>
      </c>
      <c r="Q47" s="15">
        <v>0</v>
      </c>
      <c r="R47" s="14">
        <v>3.21</v>
      </c>
      <c r="S47" s="15">
        <v>0</v>
      </c>
      <c r="T47" s="14" t="s">
        <v>571</v>
      </c>
      <c r="U47" s="15">
        <v>0</v>
      </c>
      <c r="V47" s="14">
        <v>277.92</v>
      </c>
      <c r="W47" s="15">
        <v>0</v>
      </c>
      <c r="X47" s="14" t="s">
        <v>284</v>
      </c>
      <c r="Y47" s="15">
        <v>0</v>
      </c>
      <c r="Z47" s="14" t="s">
        <v>592</v>
      </c>
      <c r="AA47" s="15">
        <v>0</v>
      </c>
      <c r="AB47" s="14" t="s">
        <v>284</v>
      </c>
      <c r="AC47" s="15">
        <v>0</v>
      </c>
      <c r="AD47" s="14" t="s">
        <v>284</v>
      </c>
      <c r="AE47" s="15">
        <v>0</v>
      </c>
      <c r="AF47" s="14" t="s">
        <v>284</v>
      </c>
      <c r="AG47" s="15">
        <v>0</v>
      </c>
    </row>
    <row r="48" spans="1:33" x14ac:dyDescent="0.2">
      <c r="A48" s="2" t="s">
        <v>3</v>
      </c>
      <c r="B48" s="3" t="s">
        <v>35</v>
      </c>
      <c r="C48" s="2" t="s">
        <v>69</v>
      </c>
      <c r="D48" s="6" t="s">
        <v>166</v>
      </c>
      <c r="E48" s="12" t="s">
        <v>0</v>
      </c>
      <c r="F48" s="14" t="s">
        <v>587</v>
      </c>
      <c r="G48" s="15">
        <v>0</v>
      </c>
      <c r="H48" s="14" t="s">
        <v>284</v>
      </c>
      <c r="I48" s="15">
        <v>0</v>
      </c>
      <c r="J48" s="14" t="s">
        <v>284</v>
      </c>
      <c r="K48" s="15">
        <v>0</v>
      </c>
      <c r="L48" s="14" t="s">
        <v>284</v>
      </c>
      <c r="M48" s="15">
        <v>0</v>
      </c>
      <c r="N48" s="14" t="s">
        <v>588</v>
      </c>
      <c r="O48" s="15">
        <v>0</v>
      </c>
      <c r="P48" s="14">
        <v>35.94</v>
      </c>
      <c r="Q48" s="15">
        <v>0</v>
      </c>
      <c r="R48" s="14">
        <v>37.4</v>
      </c>
      <c r="S48" s="15">
        <v>0</v>
      </c>
      <c r="T48" s="14" t="s">
        <v>557</v>
      </c>
      <c r="U48" s="15">
        <v>0</v>
      </c>
      <c r="V48" s="14">
        <v>459.41</v>
      </c>
      <c r="W48" s="15">
        <v>0</v>
      </c>
      <c r="X48" s="14" t="s">
        <v>284</v>
      </c>
      <c r="Y48" s="15">
        <v>0</v>
      </c>
      <c r="Z48" s="14" t="s">
        <v>592</v>
      </c>
      <c r="AA48" s="15">
        <v>0</v>
      </c>
      <c r="AB48" s="14" t="s">
        <v>284</v>
      </c>
      <c r="AC48" s="15">
        <v>0</v>
      </c>
      <c r="AD48" s="14" t="s">
        <v>284</v>
      </c>
      <c r="AE48" s="15">
        <v>0</v>
      </c>
      <c r="AF48" s="14" t="s">
        <v>284</v>
      </c>
      <c r="AG48" s="15">
        <v>0</v>
      </c>
    </row>
    <row r="49" spans="1:33" x14ac:dyDescent="0.2">
      <c r="A49" s="2" t="s">
        <v>3</v>
      </c>
      <c r="B49" s="3" t="s">
        <v>35</v>
      </c>
      <c r="C49" s="2" t="s">
        <v>68</v>
      </c>
      <c r="D49" s="6" t="s">
        <v>167</v>
      </c>
      <c r="E49" s="12" t="s">
        <v>0</v>
      </c>
      <c r="F49" s="14" t="s">
        <v>587</v>
      </c>
      <c r="G49" s="15">
        <v>0</v>
      </c>
      <c r="H49" s="14" t="s">
        <v>284</v>
      </c>
      <c r="I49" s="15">
        <v>0</v>
      </c>
      <c r="J49" s="14" t="s">
        <v>284</v>
      </c>
      <c r="K49" s="15">
        <v>0</v>
      </c>
      <c r="L49" s="14" t="s">
        <v>284</v>
      </c>
      <c r="M49" s="15">
        <v>0</v>
      </c>
      <c r="N49" s="14" t="s">
        <v>560</v>
      </c>
      <c r="O49" s="15">
        <v>0</v>
      </c>
      <c r="P49" s="14" t="s">
        <v>572</v>
      </c>
      <c r="Q49" s="15">
        <v>0</v>
      </c>
      <c r="R49" s="14">
        <v>13.49</v>
      </c>
      <c r="S49" s="15">
        <v>0</v>
      </c>
      <c r="T49" s="14">
        <v>1.64</v>
      </c>
      <c r="U49" s="15">
        <v>0</v>
      </c>
      <c r="V49" s="14">
        <v>455.61</v>
      </c>
      <c r="W49" s="15">
        <v>0</v>
      </c>
      <c r="X49" s="14" t="s">
        <v>284</v>
      </c>
      <c r="Y49" s="15">
        <v>0</v>
      </c>
      <c r="Z49" s="14" t="s">
        <v>592</v>
      </c>
      <c r="AA49" s="15">
        <v>0</v>
      </c>
      <c r="AB49" s="14" t="s">
        <v>284</v>
      </c>
      <c r="AC49" s="15">
        <v>0</v>
      </c>
      <c r="AD49" s="14" t="s">
        <v>284</v>
      </c>
      <c r="AE49" s="15">
        <v>0</v>
      </c>
      <c r="AF49" s="14" t="s">
        <v>284</v>
      </c>
      <c r="AG49" s="15">
        <v>0</v>
      </c>
    </row>
    <row r="50" spans="1:33" x14ac:dyDescent="0.2">
      <c r="A50" s="2" t="s">
        <v>3</v>
      </c>
      <c r="B50" s="3" t="s">
        <v>35</v>
      </c>
      <c r="C50" s="2" t="s">
        <v>67</v>
      </c>
      <c r="D50" s="6" t="s">
        <v>168</v>
      </c>
      <c r="E50" s="12" t="s">
        <v>0</v>
      </c>
      <c r="F50" s="14" t="s">
        <v>587</v>
      </c>
      <c r="G50" s="15">
        <v>0</v>
      </c>
      <c r="H50" s="14" t="s">
        <v>284</v>
      </c>
      <c r="I50" s="15">
        <v>0</v>
      </c>
      <c r="J50" s="14" t="s">
        <v>284</v>
      </c>
      <c r="K50" s="15">
        <v>0</v>
      </c>
      <c r="L50" s="14" t="s">
        <v>284</v>
      </c>
      <c r="M50" s="15">
        <v>0</v>
      </c>
      <c r="N50" s="14" t="s">
        <v>573</v>
      </c>
      <c r="O50" s="24">
        <v>140.01</v>
      </c>
      <c r="P50" s="23">
        <v>16.440000000000001</v>
      </c>
      <c r="Q50" s="24">
        <v>39.79</v>
      </c>
      <c r="R50" s="23" t="s">
        <v>574</v>
      </c>
      <c r="S50" s="24">
        <v>65.34</v>
      </c>
      <c r="T50" s="14" t="s">
        <v>591</v>
      </c>
      <c r="U50" s="15">
        <v>0</v>
      </c>
      <c r="V50" s="14">
        <v>87.27</v>
      </c>
      <c r="W50" s="15">
        <v>9.75</v>
      </c>
      <c r="X50" s="14" t="s">
        <v>284</v>
      </c>
      <c r="Y50" s="15">
        <v>0</v>
      </c>
      <c r="Z50" s="14" t="s">
        <v>592</v>
      </c>
      <c r="AA50" s="15">
        <v>0</v>
      </c>
      <c r="AB50" s="14" t="s">
        <v>284</v>
      </c>
      <c r="AC50" s="15">
        <v>0</v>
      </c>
      <c r="AD50" s="14" t="s">
        <v>284</v>
      </c>
      <c r="AE50" s="15">
        <v>0</v>
      </c>
      <c r="AF50" s="14" t="s">
        <v>284</v>
      </c>
      <c r="AG50" s="15">
        <v>0</v>
      </c>
    </row>
    <row r="51" spans="1:33" x14ac:dyDescent="0.2">
      <c r="A51" s="2" t="s">
        <v>3</v>
      </c>
      <c r="B51" s="3" t="s">
        <v>35</v>
      </c>
      <c r="C51" s="2" t="s">
        <v>66</v>
      </c>
      <c r="D51" s="6" t="s">
        <v>169</v>
      </c>
      <c r="E51" s="12" t="s">
        <v>0</v>
      </c>
      <c r="F51" s="14" t="s">
        <v>587</v>
      </c>
      <c r="G51" s="15">
        <v>0</v>
      </c>
      <c r="H51" s="14" t="s">
        <v>284</v>
      </c>
      <c r="I51" s="15">
        <v>0</v>
      </c>
      <c r="J51" s="14" t="s">
        <v>284</v>
      </c>
      <c r="K51" s="15">
        <v>0</v>
      </c>
      <c r="L51" s="14" t="s">
        <v>284</v>
      </c>
      <c r="M51" s="15">
        <v>0</v>
      </c>
      <c r="N51" s="14" t="s">
        <v>575</v>
      </c>
      <c r="O51" s="24">
        <v>49.29</v>
      </c>
      <c r="P51" s="14">
        <v>46.79</v>
      </c>
      <c r="Q51" s="15">
        <v>8.07</v>
      </c>
      <c r="R51" s="23">
        <v>2.59</v>
      </c>
      <c r="S51" s="24">
        <v>24.19</v>
      </c>
      <c r="T51" s="14" t="s">
        <v>591</v>
      </c>
      <c r="U51" s="15">
        <v>0</v>
      </c>
      <c r="V51" s="14">
        <v>179.03</v>
      </c>
      <c r="W51" s="15">
        <v>7.58</v>
      </c>
      <c r="X51" s="14" t="s">
        <v>284</v>
      </c>
      <c r="Y51" s="15">
        <v>0</v>
      </c>
      <c r="Z51" s="14" t="s">
        <v>592</v>
      </c>
      <c r="AA51" s="15">
        <v>0</v>
      </c>
      <c r="AB51" s="14" t="s">
        <v>284</v>
      </c>
      <c r="AC51" s="15">
        <v>0</v>
      </c>
      <c r="AD51" s="14" t="s">
        <v>284</v>
      </c>
      <c r="AE51" s="15">
        <v>0</v>
      </c>
      <c r="AF51" s="14" t="s">
        <v>284</v>
      </c>
      <c r="AG51" s="15">
        <v>0</v>
      </c>
    </row>
    <row r="52" spans="1:33" x14ac:dyDescent="0.2">
      <c r="A52" s="2" t="s">
        <v>3</v>
      </c>
      <c r="B52" s="3" t="s">
        <v>35</v>
      </c>
      <c r="C52" s="2" t="s">
        <v>65</v>
      </c>
      <c r="D52" s="6" t="s">
        <v>170</v>
      </c>
      <c r="E52" s="12" t="s">
        <v>0</v>
      </c>
      <c r="F52" s="14" t="s">
        <v>587</v>
      </c>
      <c r="G52" s="15">
        <v>0</v>
      </c>
      <c r="H52" s="14" t="s">
        <v>284</v>
      </c>
      <c r="I52" s="15">
        <v>0</v>
      </c>
      <c r="J52" s="14" t="s">
        <v>284</v>
      </c>
      <c r="K52" s="15">
        <v>0</v>
      </c>
      <c r="L52" s="14" t="s">
        <v>284</v>
      </c>
      <c r="M52" s="15">
        <v>0</v>
      </c>
      <c r="N52" s="14" t="s">
        <v>588</v>
      </c>
      <c r="O52" s="15">
        <v>0</v>
      </c>
      <c r="P52" s="14">
        <v>64.099999999999994</v>
      </c>
      <c r="Q52" s="15">
        <v>19.11</v>
      </c>
      <c r="R52" s="14">
        <v>4.46</v>
      </c>
      <c r="S52" s="15">
        <v>4.07</v>
      </c>
      <c r="T52" s="23" t="s">
        <v>571</v>
      </c>
      <c r="U52" s="24">
        <v>94.49</v>
      </c>
      <c r="V52" s="14">
        <v>244.31</v>
      </c>
      <c r="W52" s="15">
        <v>6.86</v>
      </c>
      <c r="X52" s="14" t="s">
        <v>284</v>
      </c>
      <c r="Y52" s="15">
        <v>0</v>
      </c>
      <c r="Z52" s="14" t="s">
        <v>592</v>
      </c>
      <c r="AA52" s="15">
        <v>0</v>
      </c>
      <c r="AB52" s="14" t="s">
        <v>284</v>
      </c>
      <c r="AC52" s="15">
        <v>0</v>
      </c>
      <c r="AD52" s="14" t="s">
        <v>284</v>
      </c>
      <c r="AE52" s="15">
        <v>0</v>
      </c>
      <c r="AF52" s="14" t="s">
        <v>284</v>
      </c>
      <c r="AG52" s="15">
        <v>0</v>
      </c>
    </row>
    <row r="53" spans="1:33" x14ac:dyDescent="0.2">
      <c r="A53" s="2" t="s">
        <v>3</v>
      </c>
      <c r="B53" s="3" t="s">
        <v>35</v>
      </c>
      <c r="C53" s="2" t="s">
        <v>64</v>
      </c>
      <c r="D53" s="6" t="s">
        <v>171</v>
      </c>
      <c r="E53" s="12" t="s">
        <v>0</v>
      </c>
      <c r="F53" s="14" t="s">
        <v>587</v>
      </c>
      <c r="G53" s="15">
        <v>0</v>
      </c>
      <c r="H53" s="14" t="s">
        <v>284</v>
      </c>
      <c r="I53" s="15">
        <v>0</v>
      </c>
      <c r="J53" s="14" t="s">
        <v>284</v>
      </c>
      <c r="K53" s="15">
        <v>0</v>
      </c>
      <c r="L53" s="14" t="s">
        <v>284</v>
      </c>
      <c r="M53" s="15">
        <v>0</v>
      </c>
      <c r="N53" s="14" t="s">
        <v>560</v>
      </c>
      <c r="O53" s="15">
        <v>0</v>
      </c>
      <c r="P53" s="14">
        <v>39.369999999999997</v>
      </c>
      <c r="Q53" s="15">
        <v>12.27</v>
      </c>
      <c r="R53" s="14">
        <v>11.18</v>
      </c>
      <c r="S53" s="15">
        <v>26.3</v>
      </c>
      <c r="T53" s="23">
        <v>9.36</v>
      </c>
      <c r="U53" s="24">
        <v>31.53</v>
      </c>
      <c r="V53" s="14">
        <v>516.48</v>
      </c>
      <c r="W53" s="15">
        <v>15.15</v>
      </c>
      <c r="X53" s="14" t="s">
        <v>284</v>
      </c>
      <c r="Y53" s="15">
        <v>0</v>
      </c>
      <c r="Z53" s="14" t="s">
        <v>592</v>
      </c>
      <c r="AA53" s="15">
        <v>0</v>
      </c>
      <c r="AB53" s="14" t="s">
        <v>284</v>
      </c>
      <c r="AC53" s="15">
        <v>0</v>
      </c>
      <c r="AD53" s="14" t="s">
        <v>284</v>
      </c>
      <c r="AE53" s="15">
        <v>0</v>
      </c>
      <c r="AF53" s="14" t="s">
        <v>284</v>
      </c>
      <c r="AG53" s="15">
        <v>0</v>
      </c>
    </row>
    <row r="54" spans="1:33" x14ac:dyDescent="0.2">
      <c r="A54" s="2" t="s">
        <v>3</v>
      </c>
      <c r="B54" s="3" t="s">
        <v>35</v>
      </c>
      <c r="C54" s="2" t="s">
        <v>63</v>
      </c>
      <c r="D54" s="6" t="s">
        <v>172</v>
      </c>
      <c r="E54" s="12" t="s">
        <v>0</v>
      </c>
      <c r="F54" s="14" t="s">
        <v>587</v>
      </c>
      <c r="G54" s="15">
        <v>0</v>
      </c>
      <c r="H54" s="14" t="s">
        <v>284</v>
      </c>
      <c r="I54" s="15">
        <v>0</v>
      </c>
      <c r="J54" s="14" t="s">
        <v>284</v>
      </c>
      <c r="K54" s="15">
        <v>0</v>
      </c>
      <c r="L54" s="14" t="s">
        <v>284</v>
      </c>
      <c r="M54" s="15">
        <v>0</v>
      </c>
      <c r="N54" s="14" t="s">
        <v>588</v>
      </c>
      <c r="O54" s="15">
        <v>0</v>
      </c>
      <c r="P54" s="14" t="s">
        <v>589</v>
      </c>
      <c r="Q54" s="15">
        <v>0</v>
      </c>
      <c r="R54" s="14" t="s">
        <v>590</v>
      </c>
      <c r="S54" s="15">
        <v>0</v>
      </c>
      <c r="T54" s="14" t="s">
        <v>591</v>
      </c>
      <c r="U54" s="15">
        <v>0</v>
      </c>
      <c r="V54" s="14">
        <v>119.46</v>
      </c>
      <c r="W54" s="15">
        <v>0.57999999999999996</v>
      </c>
      <c r="X54" s="14" t="s">
        <v>284</v>
      </c>
      <c r="Y54" s="15">
        <v>0</v>
      </c>
      <c r="Z54" s="14" t="s">
        <v>592</v>
      </c>
      <c r="AA54" s="15">
        <v>0</v>
      </c>
      <c r="AB54" s="14" t="s">
        <v>284</v>
      </c>
      <c r="AC54" s="15">
        <v>0</v>
      </c>
      <c r="AD54" s="14" t="s">
        <v>284</v>
      </c>
      <c r="AE54" s="15">
        <v>0</v>
      </c>
      <c r="AF54" s="14" t="s">
        <v>284</v>
      </c>
      <c r="AG54" s="15">
        <v>0</v>
      </c>
    </row>
    <row r="55" spans="1:33" x14ac:dyDescent="0.2">
      <c r="A55" s="2" t="s">
        <v>3</v>
      </c>
      <c r="B55" s="3" t="s">
        <v>35</v>
      </c>
      <c r="C55" s="2" t="s">
        <v>62</v>
      </c>
      <c r="D55" s="6" t="s">
        <v>173</v>
      </c>
      <c r="E55" s="12" t="s">
        <v>0</v>
      </c>
      <c r="F55" s="14">
        <v>170.49</v>
      </c>
      <c r="G55" s="15">
        <v>6.96</v>
      </c>
      <c r="H55" s="14" t="s">
        <v>284</v>
      </c>
      <c r="I55" s="15">
        <v>0</v>
      </c>
      <c r="J55" s="14" t="s">
        <v>284</v>
      </c>
      <c r="K55" s="15">
        <v>0</v>
      </c>
      <c r="L55" s="14" t="s">
        <v>284</v>
      </c>
      <c r="M55" s="15">
        <v>0</v>
      </c>
      <c r="N55" s="14" t="s">
        <v>588</v>
      </c>
      <c r="O55" s="15">
        <v>0</v>
      </c>
      <c r="P55" s="23">
        <v>51.44</v>
      </c>
      <c r="Q55" s="24">
        <v>21.8</v>
      </c>
      <c r="R55" s="14">
        <v>18.43</v>
      </c>
      <c r="S55" s="15">
        <v>11.37</v>
      </c>
      <c r="T55" s="14">
        <v>9</v>
      </c>
      <c r="U55" s="15">
        <v>3.75</v>
      </c>
      <c r="V55" s="14">
        <v>658.3</v>
      </c>
      <c r="W55" s="15">
        <v>10.11</v>
      </c>
      <c r="X55" s="14" t="s">
        <v>284</v>
      </c>
      <c r="Y55" s="15">
        <v>0</v>
      </c>
      <c r="Z55" s="14" t="s">
        <v>592</v>
      </c>
      <c r="AA55" s="15">
        <v>0</v>
      </c>
      <c r="AB55" s="14" t="s">
        <v>284</v>
      </c>
      <c r="AC55" s="15">
        <v>0</v>
      </c>
      <c r="AD55" s="14" t="s">
        <v>284</v>
      </c>
      <c r="AE55" s="15">
        <v>0</v>
      </c>
      <c r="AF55" s="14" t="s">
        <v>284</v>
      </c>
      <c r="AG55" s="15">
        <v>0</v>
      </c>
    </row>
    <row r="56" spans="1:33" x14ac:dyDescent="0.2">
      <c r="A56" s="2" t="s">
        <v>3</v>
      </c>
      <c r="B56" s="3" t="s">
        <v>35</v>
      </c>
      <c r="C56" s="2" t="s">
        <v>61</v>
      </c>
      <c r="D56" s="6" t="s">
        <v>174</v>
      </c>
      <c r="E56" s="12" t="s">
        <v>0</v>
      </c>
      <c r="F56" s="14">
        <v>95.85</v>
      </c>
      <c r="G56" s="15">
        <v>2.29</v>
      </c>
      <c r="H56" s="14" t="s">
        <v>284</v>
      </c>
      <c r="I56" s="15">
        <v>0</v>
      </c>
      <c r="J56" s="14" t="s">
        <v>284</v>
      </c>
      <c r="K56" s="15">
        <v>0</v>
      </c>
      <c r="L56" s="14" t="s">
        <v>284</v>
      </c>
      <c r="M56" s="15">
        <v>0</v>
      </c>
      <c r="N56" s="14" t="s">
        <v>558</v>
      </c>
      <c r="O56" s="24">
        <v>97.42</v>
      </c>
      <c r="P56" s="14">
        <v>35.590000000000003</v>
      </c>
      <c r="Q56" s="15">
        <v>6.87</v>
      </c>
      <c r="R56" s="14">
        <v>12.68</v>
      </c>
      <c r="S56" s="15">
        <v>9.0399999999999991</v>
      </c>
      <c r="T56" s="14" t="s">
        <v>591</v>
      </c>
      <c r="U56" s="15">
        <v>0</v>
      </c>
      <c r="V56" s="14">
        <v>552.79</v>
      </c>
      <c r="W56" s="15">
        <v>5.63</v>
      </c>
      <c r="X56" s="14" t="s">
        <v>284</v>
      </c>
      <c r="Y56" s="15">
        <v>0</v>
      </c>
      <c r="Z56" s="14" t="s">
        <v>592</v>
      </c>
      <c r="AA56" s="15">
        <v>0</v>
      </c>
      <c r="AB56" s="14" t="s">
        <v>284</v>
      </c>
      <c r="AC56" s="15">
        <v>0</v>
      </c>
      <c r="AD56" s="14" t="s">
        <v>284</v>
      </c>
      <c r="AE56" s="15">
        <v>0</v>
      </c>
      <c r="AF56" s="14" t="s">
        <v>284</v>
      </c>
      <c r="AG56" s="15">
        <v>0</v>
      </c>
    </row>
    <row r="57" spans="1:33" x14ac:dyDescent="0.2">
      <c r="A57" s="2" t="s">
        <v>3</v>
      </c>
      <c r="B57" s="3" t="s">
        <v>35</v>
      </c>
      <c r="C57" s="2" t="s">
        <v>60</v>
      </c>
      <c r="D57" s="6" t="s">
        <v>175</v>
      </c>
      <c r="E57" s="12" t="s">
        <v>0</v>
      </c>
      <c r="F57" s="23" t="s">
        <v>576</v>
      </c>
      <c r="G57" s="24">
        <v>25.85</v>
      </c>
      <c r="H57" s="14" t="s">
        <v>284</v>
      </c>
      <c r="I57" s="15">
        <v>0</v>
      </c>
      <c r="J57" s="14" t="s">
        <v>284</v>
      </c>
      <c r="K57" s="15">
        <v>0</v>
      </c>
      <c r="L57" s="14" t="s">
        <v>284</v>
      </c>
      <c r="M57" s="15">
        <v>0</v>
      </c>
      <c r="N57" s="14" t="s">
        <v>588</v>
      </c>
      <c r="O57" s="15">
        <v>0</v>
      </c>
      <c r="P57" s="14">
        <v>34.9</v>
      </c>
      <c r="Q57" s="15">
        <v>4.22</v>
      </c>
      <c r="R57" s="14">
        <v>146.77000000000001</v>
      </c>
      <c r="S57" s="15">
        <v>13.31</v>
      </c>
      <c r="T57" s="14" t="s">
        <v>591</v>
      </c>
      <c r="U57" s="15">
        <v>0</v>
      </c>
      <c r="V57" s="14">
        <v>693.32</v>
      </c>
      <c r="W57" s="15">
        <v>13.22</v>
      </c>
      <c r="X57" s="14" t="s">
        <v>284</v>
      </c>
      <c r="Y57" s="15">
        <v>0</v>
      </c>
      <c r="Z57" s="14" t="s">
        <v>592</v>
      </c>
      <c r="AA57" s="15">
        <v>0</v>
      </c>
      <c r="AB57" s="14" t="s">
        <v>284</v>
      </c>
      <c r="AC57" s="15">
        <v>0</v>
      </c>
      <c r="AD57" s="14" t="s">
        <v>284</v>
      </c>
      <c r="AE57" s="15">
        <v>0</v>
      </c>
      <c r="AF57" s="14" t="s">
        <v>284</v>
      </c>
      <c r="AG57" s="15">
        <v>0</v>
      </c>
    </row>
    <row r="58" spans="1:33" s="1" customFormat="1" x14ac:dyDescent="0.2">
      <c r="A58" s="3" t="s">
        <v>3</v>
      </c>
      <c r="B58" s="3" t="s">
        <v>35</v>
      </c>
      <c r="C58" s="3" t="s">
        <v>59</v>
      </c>
      <c r="D58" s="6" t="s">
        <v>176</v>
      </c>
      <c r="E58" s="16" t="s">
        <v>0</v>
      </c>
      <c r="F58" s="17" t="s">
        <v>587</v>
      </c>
      <c r="G58" s="18">
        <v>0</v>
      </c>
      <c r="H58" s="17" t="s">
        <v>284</v>
      </c>
      <c r="I58" s="18">
        <v>0</v>
      </c>
      <c r="J58" s="17" t="s">
        <v>284</v>
      </c>
      <c r="K58" s="18">
        <v>0</v>
      </c>
      <c r="L58" s="17" t="s">
        <v>284</v>
      </c>
      <c r="M58" s="18">
        <v>0</v>
      </c>
      <c r="N58" s="17" t="s">
        <v>588</v>
      </c>
      <c r="O58" s="18">
        <v>0</v>
      </c>
      <c r="P58" s="17">
        <v>58.28</v>
      </c>
      <c r="Q58" s="18">
        <v>5.79</v>
      </c>
      <c r="R58" s="25">
        <v>3.8</v>
      </c>
      <c r="S58" s="26">
        <v>36.380000000000003</v>
      </c>
      <c r="T58" s="17" t="s">
        <v>591</v>
      </c>
      <c r="U58" s="18">
        <v>0</v>
      </c>
      <c r="V58" s="17">
        <v>470.06</v>
      </c>
      <c r="W58" s="18">
        <v>6.33</v>
      </c>
      <c r="X58" s="17" t="s">
        <v>284</v>
      </c>
      <c r="Y58" s="18">
        <v>0</v>
      </c>
      <c r="Z58" s="17" t="s">
        <v>592</v>
      </c>
      <c r="AA58" s="18">
        <v>0</v>
      </c>
      <c r="AB58" s="17" t="s">
        <v>284</v>
      </c>
      <c r="AC58" s="18">
        <v>0</v>
      </c>
      <c r="AD58" s="17" t="s">
        <v>284</v>
      </c>
      <c r="AE58" s="18">
        <v>0</v>
      </c>
      <c r="AF58" s="17" t="s">
        <v>284</v>
      </c>
      <c r="AG58" s="18">
        <v>0</v>
      </c>
    </row>
    <row r="59" spans="1:33" x14ac:dyDescent="0.2">
      <c r="A59" s="2" t="s">
        <v>3</v>
      </c>
      <c r="B59" s="3" t="s">
        <v>35</v>
      </c>
      <c r="C59" s="2" t="s">
        <v>58</v>
      </c>
      <c r="D59" s="6" t="s">
        <v>177</v>
      </c>
      <c r="E59" s="12" t="s">
        <v>0</v>
      </c>
      <c r="F59" s="14" t="s">
        <v>587</v>
      </c>
      <c r="G59" s="15">
        <v>0</v>
      </c>
      <c r="H59" s="14" t="s">
        <v>284</v>
      </c>
      <c r="I59" s="15">
        <v>0</v>
      </c>
      <c r="J59" s="14" t="s">
        <v>284</v>
      </c>
      <c r="K59" s="15">
        <v>0</v>
      </c>
      <c r="L59" s="14" t="s">
        <v>284</v>
      </c>
      <c r="M59" s="15">
        <v>0</v>
      </c>
      <c r="N59" s="14" t="s">
        <v>588</v>
      </c>
      <c r="O59" s="15">
        <v>0</v>
      </c>
      <c r="P59" s="14">
        <v>62.01</v>
      </c>
      <c r="Q59" s="15">
        <v>15.42</v>
      </c>
      <c r="R59" s="23">
        <v>3.06</v>
      </c>
      <c r="S59" s="24">
        <v>61.68</v>
      </c>
      <c r="T59" s="14" t="s">
        <v>591</v>
      </c>
      <c r="U59" s="15">
        <v>0</v>
      </c>
      <c r="V59" s="14">
        <v>506.1</v>
      </c>
      <c r="W59" s="15">
        <v>5.5</v>
      </c>
      <c r="X59" s="14" t="s">
        <v>284</v>
      </c>
      <c r="Y59" s="15">
        <v>0</v>
      </c>
      <c r="Z59" s="14" t="s">
        <v>592</v>
      </c>
      <c r="AA59" s="15">
        <v>0</v>
      </c>
      <c r="AB59" s="14" t="s">
        <v>284</v>
      </c>
      <c r="AC59" s="15">
        <v>0</v>
      </c>
      <c r="AD59" s="14" t="s">
        <v>284</v>
      </c>
      <c r="AE59" s="15">
        <v>0</v>
      </c>
      <c r="AF59" s="14" t="s">
        <v>284</v>
      </c>
      <c r="AG59" s="15">
        <v>0</v>
      </c>
    </row>
    <row r="60" spans="1:33" x14ac:dyDescent="0.2">
      <c r="A60" s="2" t="s">
        <v>3</v>
      </c>
      <c r="B60" s="3" t="s">
        <v>35</v>
      </c>
      <c r="C60" s="2" t="s">
        <v>57</v>
      </c>
      <c r="D60" s="6" t="s">
        <v>178</v>
      </c>
      <c r="E60" s="12" t="s">
        <v>0</v>
      </c>
      <c r="F60" s="14" t="s">
        <v>587</v>
      </c>
      <c r="G60" s="15">
        <v>0</v>
      </c>
      <c r="H60" s="14" t="s">
        <v>284</v>
      </c>
      <c r="I60" s="15">
        <v>0</v>
      </c>
      <c r="J60" s="14" t="s">
        <v>284</v>
      </c>
      <c r="K60" s="15">
        <v>0</v>
      </c>
      <c r="L60" s="14" t="s">
        <v>284</v>
      </c>
      <c r="M60" s="15">
        <v>0</v>
      </c>
      <c r="N60" s="14" t="s">
        <v>588</v>
      </c>
      <c r="O60" s="15">
        <v>0</v>
      </c>
      <c r="P60" s="14">
        <v>16.93</v>
      </c>
      <c r="Q60" s="15">
        <v>0</v>
      </c>
      <c r="R60" s="23">
        <v>4.34</v>
      </c>
      <c r="S60" s="24">
        <v>40.590000000000003</v>
      </c>
      <c r="T60" s="14" t="s">
        <v>591</v>
      </c>
      <c r="U60" s="15">
        <v>0</v>
      </c>
      <c r="V60" s="14">
        <v>695.43</v>
      </c>
      <c r="W60" s="15">
        <v>3.2</v>
      </c>
      <c r="X60" s="14" t="s">
        <v>284</v>
      </c>
      <c r="Y60" s="15">
        <v>0</v>
      </c>
      <c r="Z60" s="14" t="s">
        <v>592</v>
      </c>
      <c r="AA60" s="15">
        <v>0</v>
      </c>
      <c r="AB60" s="14" t="s">
        <v>284</v>
      </c>
      <c r="AC60" s="15">
        <v>0</v>
      </c>
      <c r="AD60" s="14" t="s">
        <v>284</v>
      </c>
      <c r="AE60" s="15">
        <v>0</v>
      </c>
      <c r="AF60" s="14" t="s">
        <v>284</v>
      </c>
      <c r="AG60" s="15">
        <v>0</v>
      </c>
    </row>
    <row r="61" spans="1:33" x14ac:dyDescent="0.2">
      <c r="A61" s="2" t="s">
        <v>3</v>
      </c>
      <c r="B61" s="3" t="s">
        <v>35</v>
      </c>
      <c r="C61" s="2" t="s">
        <v>56</v>
      </c>
      <c r="D61" s="6" t="s">
        <v>179</v>
      </c>
      <c r="E61" s="12" t="s">
        <v>0</v>
      </c>
      <c r="F61" s="14" t="s">
        <v>587</v>
      </c>
      <c r="G61" s="15">
        <v>0</v>
      </c>
      <c r="H61" s="14" t="s">
        <v>284</v>
      </c>
      <c r="I61" s="15">
        <v>0</v>
      </c>
      <c r="J61" s="14" t="s">
        <v>284</v>
      </c>
      <c r="K61" s="15">
        <v>0</v>
      </c>
      <c r="L61" s="14" t="s">
        <v>284</v>
      </c>
      <c r="M61" s="15">
        <v>0</v>
      </c>
      <c r="N61" s="14" t="s">
        <v>588</v>
      </c>
      <c r="O61" s="15">
        <v>0</v>
      </c>
      <c r="P61" s="14">
        <v>173.35</v>
      </c>
      <c r="Q61" s="15">
        <v>1.9</v>
      </c>
      <c r="R61" s="14">
        <v>50.67</v>
      </c>
      <c r="S61" s="15">
        <v>0.46</v>
      </c>
      <c r="T61" s="23">
        <v>2.25</v>
      </c>
      <c r="U61" s="24">
        <v>45.16</v>
      </c>
      <c r="V61" s="14">
        <v>699.72</v>
      </c>
      <c r="W61" s="15">
        <v>10.81</v>
      </c>
      <c r="X61" s="14" t="s">
        <v>284</v>
      </c>
      <c r="Y61" s="15">
        <v>0</v>
      </c>
      <c r="Z61" s="14" t="s">
        <v>592</v>
      </c>
      <c r="AA61" s="15">
        <v>0</v>
      </c>
      <c r="AB61" s="14" t="s">
        <v>284</v>
      </c>
      <c r="AC61" s="15">
        <v>0</v>
      </c>
      <c r="AD61" s="14" t="s">
        <v>284</v>
      </c>
      <c r="AE61" s="15">
        <v>0</v>
      </c>
      <c r="AF61" s="14" t="s">
        <v>284</v>
      </c>
      <c r="AG61" s="15">
        <v>0</v>
      </c>
    </row>
    <row r="62" spans="1:33" x14ac:dyDescent="0.2">
      <c r="A62" s="2" t="s">
        <v>3</v>
      </c>
      <c r="B62" s="3" t="s">
        <v>35</v>
      </c>
      <c r="C62" s="2" t="s">
        <v>55</v>
      </c>
      <c r="D62" s="6" t="s">
        <v>180</v>
      </c>
      <c r="E62" s="12" t="s">
        <v>0</v>
      </c>
      <c r="F62" s="14" t="s">
        <v>587</v>
      </c>
      <c r="G62" s="15">
        <v>0</v>
      </c>
      <c r="H62" s="14" t="s">
        <v>284</v>
      </c>
      <c r="I62" s="15">
        <v>0</v>
      </c>
      <c r="J62" s="14" t="s">
        <v>284</v>
      </c>
      <c r="K62" s="15">
        <v>0</v>
      </c>
      <c r="L62" s="14" t="s">
        <v>284</v>
      </c>
      <c r="M62" s="15">
        <v>0</v>
      </c>
      <c r="N62" s="14" t="s">
        <v>588</v>
      </c>
      <c r="O62" s="15">
        <v>0</v>
      </c>
      <c r="P62" s="23">
        <v>12.76</v>
      </c>
      <c r="Q62" s="24">
        <v>28.47</v>
      </c>
      <c r="R62" s="23" t="s">
        <v>577</v>
      </c>
      <c r="S62" s="24">
        <v>121.82</v>
      </c>
      <c r="T62" s="14" t="s">
        <v>591</v>
      </c>
      <c r="U62" s="15">
        <v>0</v>
      </c>
      <c r="V62" s="14">
        <v>456.5</v>
      </c>
      <c r="W62" s="15">
        <v>4.6399999999999997</v>
      </c>
      <c r="X62" s="14" t="s">
        <v>284</v>
      </c>
      <c r="Y62" s="15">
        <v>0</v>
      </c>
      <c r="Z62" s="14" t="s">
        <v>592</v>
      </c>
      <c r="AA62" s="15">
        <v>0</v>
      </c>
      <c r="AB62" s="14" t="s">
        <v>284</v>
      </c>
      <c r="AC62" s="15">
        <v>0</v>
      </c>
      <c r="AD62" s="14" t="s">
        <v>284</v>
      </c>
      <c r="AE62" s="15">
        <v>0</v>
      </c>
      <c r="AF62" s="14" t="s">
        <v>284</v>
      </c>
      <c r="AG62" s="15">
        <v>0</v>
      </c>
    </row>
    <row r="63" spans="1:33" x14ac:dyDescent="0.2">
      <c r="A63" s="2" t="s">
        <v>3</v>
      </c>
      <c r="B63" s="3" t="s">
        <v>35</v>
      </c>
      <c r="C63" s="2" t="s">
        <v>54</v>
      </c>
      <c r="D63" s="6" t="s">
        <v>181</v>
      </c>
      <c r="E63" s="12" t="s">
        <v>0</v>
      </c>
      <c r="F63" s="14" t="s">
        <v>587</v>
      </c>
      <c r="G63" s="15">
        <v>0</v>
      </c>
      <c r="H63" s="14" t="s">
        <v>284</v>
      </c>
      <c r="I63" s="15">
        <v>0</v>
      </c>
      <c r="J63" s="14" t="s">
        <v>284</v>
      </c>
      <c r="K63" s="15">
        <v>0</v>
      </c>
      <c r="L63" s="14" t="s">
        <v>284</v>
      </c>
      <c r="M63" s="15">
        <v>0</v>
      </c>
      <c r="N63" s="14" t="s">
        <v>588</v>
      </c>
      <c r="O63" s="15">
        <v>0</v>
      </c>
      <c r="P63" s="14">
        <v>448.86</v>
      </c>
      <c r="Q63" s="15">
        <v>9.25</v>
      </c>
      <c r="R63" s="14">
        <v>26.75</v>
      </c>
      <c r="S63" s="15">
        <v>19.43</v>
      </c>
      <c r="T63" s="14">
        <v>19.41</v>
      </c>
      <c r="U63" s="15">
        <v>11.62</v>
      </c>
      <c r="V63" s="14">
        <v>682.55</v>
      </c>
      <c r="W63" s="15">
        <v>11.06</v>
      </c>
      <c r="X63" s="14" t="s">
        <v>284</v>
      </c>
      <c r="Y63" s="15">
        <v>0</v>
      </c>
      <c r="Z63" s="14" t="s">
        <v>592</v>
      </c>
      <c r="AA63" s="15">
        <v>0</v>
      </c>
      <c r="AB63" s="14" t="s">
        <v>284</v>
      </c>
      <c r="AC63" s="15">
        <v>0</v>
      </c>
      <c r="AD63" s="14" t="s">
        <v>284</v>
      </c>
      <c r="AE63" s="15">
        <v>0</v>
      </c>
      <c r="AF63" s="14" t="s">
        <v>284</v>
      </c>
      <c r="AG63" s="15">
        <v>0</v>
      </c>
    </row>
    <row r="64" spans="1:33" x14ac:dyDescent="0.2">
      <c r="A64" s="2" t="s">
        <v>3</v>
      </c>
      <c r="B64" s="3" t="s">
        <v>35</v>
      </c>
      <c r="C64" s="2" t="s">
        <v>53</v>
      </c>
      <c r="D64" s="6" t="s">
        <v>182</v>
      </c>
      <c r="E64" s="12" t="s">
        <v>0</v>
      </c>
      <c r="F64" s="14" t="s">
        <v>587</v>
      </c>
      <c r="G64" s="15">
        <v>0</v>
      </c>
      <c r="H64" s="14" t="s">
        <v>284</v>
      </c>
      <c r="I64" s="15">
        <v>0</v>
      </c>
      <c r="J64" s="14" t="s">
        <v>284</v>
      </c>
      <c r="K64" s="15">
        <v>0</v>
      </c>
      <c r="L64" s="14" t="s">
        <v>284</v>
      </c>
      <c r="M64" s="15">
        <v>0</v>
      </c>
      <c r="N64" s="14" t="s">
        <v>588</v>
      </c>
      <c r="O64" s="15">
        <v>0</v>
      </c>
      <c r="P64" s="14">
        <v>268.45999999999998</v>
      </c>
      <c r="Q64" s="15">
        <v>13.77</v>
      </c>
      <c r="R64" s="14">
        <v>12.5</v>
      </c>
      <c r="S64" s="15">
        <v>18.32</v>
      </c>
      <c r="T64" s="14">
        <v>14.51</v>
      </c>
      <c r="U64" s="15">
        <v>11.45</v>
      </c>
      <c r="V64" s="14">
        <v>481.29</v>
      </c>
      <c r="W64" s="15">
        <v>12.51</v>
      </c>
      <c r="X64" s="14" t="s">
        <v>284</v>
      </c>
      <c r="Y64" s="15">
        <v>0</v>
      </c>
      <c r="Z64" s="14" t="s">
        <v>592</v>
      </c>
      <c r="AA64" s="15">
        <v>0</v>
      </c>
      <c r="AB64" s="14" t="s">
        <v>284</v>
      </c>
      <c r="AC64" s="15">
        <v>0</v>
      </c>
      <c r="AD64" s="14" t="s">
        <v>284</v>
      </c>
      <c r="AE64" s="15">
        <v>0</v>
      </c>
      <c r="AF64" s="14" t="s">
        <v>284</v>
      </c>
      <c r="AG64" s="15">
        <v>0</v>
      </c>
    </row>
    <row r="65" spans="1:33" x14ac:dyDescent="0.2">
      <c r="A65" s="2" t="s">
        <v>3</v>
      </c>
      <c r="B65" s="3" t="s">
        <v>35</v>
      </c>
      <c r="C65" s="2" t="s">
        <v>52</v>
      </c>
      <c r="D65" s="6" t="s">
        <v>183</v>
      </c>
      <c r="E65" s="12" t="s">
        <v>0</v>
      </c>
      <c r="F65" s="14" t="s">
        <v>587</v>
      </c>
      <c r="G65" s="15">
        <v>0</v>
      </c>
      <c r="H65" s="14" t="s">
        <v>284</v>
      </c>
      <c r="I65" s="15">
        <v>0</v>
      </c>
      <c r="J65" s="14" t="s">
        <v>284</v>
      </c>
      <c r="K65" s="15">
        <v>0</v>
      </c>
      <c r="L65" s="14" t="s">
        <v>284</v>
      </c>
      <c r="M65" s="15">
        <v>0</v>
      </c>
      <c r="N65" s="14" t="s">
        <v>588</v>
      </c>
      <c r="O65" s="15">
        <v>0</v>
      </c>
      <c r="P65" s="23">
        <v>89.57</v>
      </c>
      <c r="Q65" s="24">
        <v>22.29</v>
      </c>
      <c r="R65" s="14">
        <v>17.82</v>
      </c>
      <c r="S65" s="15">
        <v>5.54</v>
      </c>
      <c r="T65" s="14" t="s">
        <v>591</v>
      </c>
      <c r="U65" s="15">
        <v>0</v>
      </c>
      <c r="V65" s="14">
        <v>572.75</v>
      </c>
      <c r="W65" s="15">
        <v>3.72</v>
      </c>
      <c r="X65" s="14" t="s">
        <v>284</v>
      </c>
      <c r="Y65" s="15">
        <v>0</v>
      </c>
      <c r="Z65" s="14" t="s">
        <v>592</v>
      </c>
      <c r="AA65" s="15">
        <v>0</v>
      </c>
      <c r="AB65" s="14" t="s">
        <v>284</v>
      </c>
      <c r="AC65" s="15">
        <v>0</v>
      </c>
      <c r="AD65" s="14" t="s">
        <v>284</v>
      </c>
      <c r="AE65" s="15">
        <v>0</v>
      </c>
      <c r="AF65" s="14" t="s">
        <v>284</v>
      </c>
      <c r="AG65" s="15">
        <v>0</v>
      </c>
    </row>
    <row r="66" spans="1:33" x14ac:dyDescent="0.2">
      <c r="A66" s="2" t="s">
        <v>3</v>
      </c>
      <c r="B66" s="3" t="s">
        <v>35</v>
      </c>
      <c r="C66" s="2" t="s">
        <v>51</v>
      </c>
      <c r="D66" s="6" t="s">
        <v>184</v>
      </c>
      <c r="E66" s="12" t="s">
        <v>0</v>
      </c>
      <c r="F66" s="14" t="s">
        <v>587</v>
      </c>
      <c r="G66" s="15">
        <v>0</v>
      </c>
      <c r="H66" s="14" t="s">
        <v>284</v>
      </c>
      <c r="I66" s="15">
        <v>0</v>
      </c>
      <c r="J66" s="14" t="s">
        <v>284</v>
      </c>
      <c r="K66" s="15">
        <v>0</v>
      </c>
      <c r="L66" s="14" t="s">
        <v>284</v>
      </c>
      <c r="M66" s="15">
        <v>0</v>
      </c>
      <c r="N66" s="14" t="s">
        <v>588</v>
      </c>
      <c r="O66" s="15">
        <v>0</v>
      </c>
      <c r="P66" s="14">
        <v>18.55</v>
      </c>
      <c r="Q66" s="15">
        <v>0</v>
      </c>
      <c r="R66" s="14">
        <v>9.91</v>
      </c>
      <c r="S66" s="15">
        <v>0</v>
      </c>
      <c r="T66" s="14" t="s">
        <v>591</v>
      </c>
      <c r="U66" s="15">
        <v>0</v>
      </c>
      <c r="V66" s="14">
        <v>310.22000000000003</v>
      </c>
      <c r="W66" s="15">
        <v>0</v>
      </c>
      <c r="X66" s="14" t="s">
        <v>284</v>
      </c>
      <c r="Y66" s="15">
        <v>0</v>
      </c>
      <c r="Z66" s="14" t="s">
        <v>592</v>
      </c>
      <c r="AA66" s="15">
        <v>0</v>
      </c>
      <c r="AB66" s="14" t="s">
        <v>284</v>
      </c>
      <c r="AC66" s="15">
        <v>0</v>
      </c>
      <c r="AD66" s="14" t="s">
        <v>284</v>
      </c>
      <c r="AE66" s="15">
        <v>0</v>
      </c>
      <c r="AF66" s="14" t="s">
        <v>284</v>
      </c>
      <c r="AG66" s="15">
        <v>0</v>
      </c>
    </row>
    <row r="67" spans="1:33" x14ac:dyDescent="0.2">
      <c r="A67" s="2" t="s">
        <v>3</v>
      </c>
      <c r="B67" s="3" t="s">
        <v>35</v>
      </c>
      <c r="C67" s="2" t="s">
        <v>50</v>
      </c>
      <c r="D67" s="6" t="s">
        <v>185</v>
      </c>
      <c r="E67" s="12" t="s">
        <v>0</v>
      </c>
      <c r="F67" s="14" t="s">
        <v>587</v>
      </c>
      <c r="G67" s="15">
        <v>0</v>
      </c>
      <c r="H67" s="14" t="s">
        <v>284</v>
      </c>
      <c r="I67" s="15">
        <v>0</v>
      </c>
      <c r="J67" s="14" t="s">
        <v>284</v>
      </c>
      <c r="K67" s="15">
        <v>0</v>
      </c>
      <c r="L67" s="14" t="s">
        <v>284</v>
      </c>
      <c r="M67" s="15">
        <v>0</v>
      </c>
      <c r="N67" s="14" t="s">
        <v>588</v>
      </c>
      <c r="O67" s="15">
        <v>0</v>
      </c>
      <c r="P67" s="14">
        <v>94.03</v>
      </c>
      <c r="Q67" s="15">
        <v>0</v>
      </c>
      <c r="R67" s="14">
        <v>6.49</v>
      </c>
      <c r="S67" s="15">
        <v>0</v>
      </c>
      <c r="T67" s="14" t="s">
        <v>591</v>
      </c>
      <c r="U67" s="15">
        <v>0</v>
      </c>
      <c r="V67" s="14">
        <v>497.67</v>
      </c>
      <c r="W67" s="15">
        <v>0</v>
      </c>
      <c r="X67" s="14" t="s">
        <v>284</v>
      </c>
      <c r="Y67" s="15">
        <v>0</v>
      </c>
      <c r="Z67" s="14" t="s">
        <v>592</v>
      </c>
      <c r="AA67" s="15">
        <v>0</v>
      </c>
      <c r="AB67" s="14" t="s">
        <v>284</v>
      </c>
      <c r="AC67" s="15">
        <v>0</v>
      </c>
      <c r="AD67" s="14" t="s">
        <v>284</v>
      </c>
      <c r="AE67" s="15">
        <v>0</v>
      </c>
      <c r="AF67" s="14" t="s">
        <v>284</v>
      </c>
      <c r="AG67" s="15">
        <v>0</v>
      </c>
    </row>
    <row r="68" spans="1:33" x14ac:dyDescent="0.2">
      <c r="A68" s="2" t="s">
        <v>3</v>
      </c>
      <c r="B68" s="3" t="s">
        <v>35</v>
      </c>
      <c r="C68" s="2" t="s">
        <v>49</v>
      </c>
      <c r="D68" s="6" t="s">
        <v>186</v>
      </c>
      <c r="E68" s="12" t="s">
        <v>0</v>
      </c>
      <c r="F68" s="14" t="s">
        <v>587</v>
      </c>
      <c r="G68" s="15">
        <v>0</v>
      </c>
      <c r="H68" s="14" t="s">
        <v>284</v>
      </c>
      <c r="I68" s="15">
        <v>0</v>
      </c>
      <c r="J68" s="14" t="s">
        <v>284</v>
      </c>
      <c r="K68" s="15">
        <v>0</v>
      </c>
      <c r="L68" s="14" t="s">
        <v>284</v>
      </c>
      <c r="M68" s="15">
        <v>0</v>
      </c>
      <c r="N68" s="14">
        <v>6.32</v>
      </c>
      <c r="O68" s="15">
        <v>0</v>
      </c>
      <c r="P68" s="14">
        <v>13.61</v>
      </c>
      <c r="Q68" s="15">
        <v>0</v>
      </c>
      <c r="R68" s="14">
        <v>14.37</v>
      </c>
      <c r="S68" s="15">
        <v>0</v>
      </c>
      <c r="T68" s="14" t="s">
        <v>591</v>
      </c>
      <c r="U68" s="15">
        <v>0</v>
      </c>
      <c r="V68" s="14">
        <v>701.63</v>
      </c>
      <c r="W68" s="15">
        <v>0</v>
      </c>
      <c r="X68" s="14" t="s">
        <v>284</v>
      </c>
      <c r="Y68" s="15">
        <v>0</v>
      </c>
      <c r="Z68" s="14" t="s">
        <v>592</v>
      </c>
      <c r="AA68" s="15">
        <v>0</v>
      </c>
      <c r="AB68" s="14" t="s">
        <v>284</v>
      </c>
      <c r="AC68" s="15">
        <v>0</v>
      </c>
      <c r="AD68" s="14" t="s">
        <v>284</v>
      </c>
      <c r="AE68" s="15">
        <v>0</v>
      </c>
      <c r="AF68" s="14" t="s">
        <v>284</v>
      </c>
      <c r="AG68" s="15">
        <v>0</v>
      </c>
    </row>
    <row r="69" spans="1:33" x14ac:dyDescent="0.2">
      <c r="A69" s="2" t="s">
        <v>3</v>
      </c>
      <c r="B69" s="3" t="s">
        <v>35</v>
      </c>
      <c r="C69" s="2" t="s">
        <v>48</v>
      </c>
      <c r="D69" s="6" t="s">
        <v>187</v>
      </c>
      <c r="E69" s="12" t="s">
        <v>0</v>
      </c>
      <c r="F69" s="14" t="s">
        <v>587</v>
      </c>
      <c r="G69" s="15">
        <v>0</v>
      </c>
      <c r="H69" s="14" t="s">
        <v>284</v>
      </c>
      <c r="I69" s="15">
        <v>0</v>
      </c>
      <c r="J69" s="14" t="s">
        <v>284</v>
      </c>
      <c r="K69" s="15">
        <v>0</v>
      </c>
      <c r="L69" s="14" t="s">
        <v>284</v>
      </c>
      <c r="M69" s="15">
        <v>0</v>
      </c>
      <c r="N69" s="14" t="s">
        <v>588</v>
      </c>
      <c r="O69" s="15">
        <v>0</v>
      </c>
      <c r="P69" s="14">
        <v>24.86</v>
      </c>
      <c r="Q69" s="15">
        <v>0</v>
      </c>
      <c r="R69" s="14">
        <v>8.5399999999999991</v>
      </c>
      <c r="S69" s="15">
        <v>0</v>
      </c>
      <c r="T69" s="14" t="s">
        <v>591</v>
      </c>
      <c r="U69" s="15">
        <v>0</v>
      </c>
      <c r="V69" s="14">
        <v>715.03</v>
      </c>
      <c r="W69" s="15">
        <v>0</v>
      </c>
      <c r="X69" s="14" t="s">
        <v>284</v>
      </c>
      <c r="Y69" s="15">
        <v>0</v>
      </c>
      <c r="Z69" s="14" t="s">
        <v>592</v>
      </c>
      <c r="AA69" s="15">
        <v>0</v>
      </c>
      <c r="AB69" s="14" t="s">
        <v>284</v>
      </c>
      <c r="AC69" s="15">
        <v>0</v>
      </c>
      <c r="AD69" s="14" t="s">
        <v>284</v>
      </c>
      <c r="AE69" s="15">
        <v>0</v>
      </c>
      <c r="AF69" s="14" t="s">
        <v>284</v>
      </c>
      <c r="AG69" s="15">
        <v>0</v>
      </c>
    </row>
    <row r="70" spans="1:33" x14ac:dyDescent="0.2">
      <c r="A70" s="2" t="s">
        <v>3</v>
      </c>
      <c r="B70" s="3" t="s">
        <v>35</v>
      </c>
      <c r="C70" s="2" t="s">
        <v>47</v>
      </c>
      <c r="D70" s="6" t="s">
        <v>188</v>
      </c>
      <c r="E70" s="12" t="s">
        <v>0</v>
      </c>
      <c r="F70" s="14" t="s">
        <v>587</v>
      </c>
      <c r="G70" s="15">
        <v>0</v>
      </c>
      <c r="H70" s="14" t="s">
        <v>284</v>
      </c>
      <c r="I70" s="15">
        <v>0</v>
      </c>
      <c r="J70" s="14" t="s">
        <v>284</v>
      </c>
      <c r="K70" s="15">
        <v>0</v>
      </c>
      <c r="L70" s="14" t="s">
        <v>284</v>
      </c>
      <c r="M70" s="15">
        <v>0</v>
      </c>
      <c r="N70" s="14" t="s">
        <v>588</v>
      </c>
      <c r="O70" s="15">
        <v>0</v>
      </c>
      <c r="P70" s="14" t="s">
        <v>589</v>
      </c>
      <c r="Q70" s="15">
        <v>0</v>
      </c>
      <c r="R70" s="14">
        <v>5.41</v>
      </c>
      <c r="S70" s="15">
        <v>0</v>
      </c>
      <c r="T70" s="14">
        <v>3.35</v>
      </c>
      <c r="U70" s="15">
        <v>0</v>
      </c>
      <c r="V70" s="14">
        <v>584.04</v>
      </c>
      <c r="W70" s="15">
        <v>0</v>
      </c>
      <c r="X70" s="14" t="s">
        <v>284</v>
      </c>
      <c r="Y70" s="15">
        <v>0</v>
      </c>
      <c r="Z70" s="14" t="s">
        <v>592</v>
      </c>
      <c r="AA70" s="15">
        <v>0</v>
      </c>
      <c r="AB70" s="14" t="s">
        <v>284</v>
      </c>
      <c r="AC70" s="15">
        <v>0</v>
      </c>
      <c r="AD70" s="14" t="s">
        <v>284</v>
      </c>
      <c r="AE70" s="15">
        <v>0</v>
      </c>
      <c r="AF70" s="14" t="s">
        <v>284</v>
      </c>
      <c r="AG70" s="15">
        <v>0</v>
      </c>
    </row>
    <row r="71" spans="1:33" x14ac:dyDescent="0.2">
      <c r="A71" s="2" t="s">
        <v>3</v>
      </c>
      <c r="B71" s="3" t="s">
        <v>35</v>
      </c>
      <c r="C71" s="2" t="s">
        <v>46</v>
      </c>
      <c r="D71" s="6" t="s">
        <v>189</v>
      </c>
      <c r="E71" s="12" t="s">
        <v>0</v>
      </c>
      <c r="F71" s="14" t="s">
        <v>587</v>
      </c>
      <c r="G71" s="15">
        <v>0</v>
      </c>
      <c r="H71" s="14" t="s">
        <v>284</v>
      </c>
      <c r="I71" s="15">
        <v>0</v>
      </c>
      <c r="J71" s="14" t="s">
        <v>284</v>
      </c>
      <c r="K71" s="15">
        <v>0</v>
      </c>
      <c r="L71" s="14" t="s">
        <v>284</v>
      </c>
      <c r="M71" s="15">
        <v>0</v>
      </c>
      <c r="N71" s="14" t="s">
        <v>588</v>
      </c>
      <c r="O71" s="15">
        <v>0</v>
      </c>
      <c r="P71" s="14">
        <v>21.74</v>
      </c>
      <c r="Q71" s="15">
        <v>0</v>
      </c>
      <c r="R71" s="14">
        <v>17.559999999999999</v>
      </c>
      <c r="S71" s="15">
        <v>0</v>
      </c>
      <c r="T71" s="14" t="s">
        <v>591</v>
      </c>
      <c r="U71" s="15">
        <v>0</v>
      </c>
      <c r="V71" s="14">
        <v>881.99</v>
      </c>
      <c r="W71" s="15">
        <v>0</v>
      </c>
      <c r="X71" s="14" t="s">
        <v>284</v>
      </c>
      <c r="Y71" s="15">
        <v>0</v>
      </c>
      <c r="Z71" s="14" t="s">
        <v>592</v>
      </c>
      <c r="AA71" s="15">
        <v>0</v>
      </c>
      <c r="AB71" s="14" t="s">
        <v>284</v>
      </c>
      <c r="AC71" s="15">
        <v>0</v>
      </c>
      <c r="AD71" s="14" t="s">
        <v>284</v>
      </c>
      <c r="AE71" s="15">
        <v>0</v>
      </c>
      <c r="AF71" s="14" t="s">
        <v>284</v>
      </c>
      <c r="AG71" s="15">
        <v>0</v>
      </c>
    </row>
    <row r="72" spans="1:33" x14ac:dyDescent="0.2">
      <c r="A72" s="2" t="s">
        <v>3</v>
      </c>
      <c r="B72" s="3" t="s">
        <v>35</v>
      </c>
      <c r="C72" s="2" t="s">
        <v>45</v>
      </c>
      <c r="D72" s="6" t="s">
        <v>190</v>
      </c>
      <c r="E72" s="12" t="s">
        <v>0</v>
      </c>
      <c r="F72" s="14" t="s">
        <v>587</v>
      </c>
      <c r="G72" s="15">
        <v>0</v>
      </c>
      <c r="H72" s="14" t="s">
        <v>284</v>
      </c>
      <c r="I72" s="15">
        <v>0</v>
      </c>
      <c r="J72" s="14" t="s">
        <v>284</v>
      </c>
      <c r="K72" s="15">
        <v>0</v>
      </c>
      <c r="L72" s="14" t="s">
        <v>284</v>
      </c>
      <c r="M72" s="15">
        <v>0</v>
      </c>
      <c r="N72" s="14" t="s">
        <v>588</v>
      </c>
      <c r="O72" s="15">
        <v>0</v>
      </c>
      <c r="P72" s="14" t="s">
        <v>589</v>
      </c>
      <c r="Q72" s="15">
        <v>0</v>
      </c>
      <c r="R72" s="14">
        <v>5.96</v>
      </c>
      <c r="S72" s="15">
        <v>0</v>
      </c>
      <c r="T72" s="14" t="s">
        <v>591</v>
      </c>
      <c r="U72" s="15">
        <v>0</v>
      </c>
      <c r="V72" s="14">
        <v>346</v>
      </c>
      <c r="W72" s="15">
        <v>0</v>
      </c>
      <c r="X72" s="14" t="s">
        <v>284</v>
      </c>
      <c r="Y72" s="15">
        <v>0</v>
      </c>
      <c r="Z72" s="14" t="s">
        <v>592</v>
      </c>
      <c r="AA72" s="15">
        <v>0</v>
      </c>
      <c r="AB72" s="14" t="s">
        <v>284</v>
      </c>
      <c r="AC72" s="15">
        <v>0</v>
      </c>
      <c r="AD72" s="14" t="s">
        <v>284</v>
      </c>
      <c r="AE72" s="15">
        <v>0</v>
      </c>
      <c r="AF72" s="14" t="s">
        <v>284</v>
      </c>
      <c r="AG72" s="15">
        <v>0</v>
      </c>
    </row>
    <row r="73" spans="1:33" x14ac:dyDescent="0.2">
      <c r="A73" s="2" t="s">
        <v>3</v>
      </c>
      <c r="B73" s="3" t="s">
        <v>35</v>
      </c>
      <c r="C73" s="2" t="s">
        <v>44</v>
      </c>
      <c r="D73" s="6" t="s">
        <v>191</v>
      </c>
      <c r="E73" s="12" t="s">
        <v>0</v>
      </c>
      <c r="F73" s="14" t="s">
        <v>587</v>
      </c>
      <c r="G73" s="15">
        <v>0</v>
      </c>
      <c r="H73" s="14" t="s">
        <v>284</v>
      </c>
      <c r="I73" s="15">
        <v>0</v>
      </c>
      <c r="J73" s="14" t="s">
        <v>284</v>
      </c>
      <c r="K73" s="15">
        <v>0</v>
      </c>
      <c r="L73" s="14" t="s">
        <v>284</v>
      </c>
      <c r="M73" s="15">
        <v>0</v>
      </c>
      <c r="N73" s="14" t="s">
        <v>588</v>
      </c>
      <c r="O73" s="15">
        <v>0</v>
      </c>
      <c r="P73" s="14">
        <v>99.1</v>
      </c>
      <c r="Q73" s="15">
        <v>0</v>
      </c>
      <c r="R73" s="14">
        <v>53.61</v>
      </c>
      <c r="S73" s="15">
        <v>0</v>
      </c>
      <c r="T73" s="14">
        <v>9.86</v>
      </c>
      <c r="U73" s="15">
        <v>0</v>
      </c>
      <c r="V73" s="14">
        <v>1452.91</v>
      </c>
      <c r="W73" s="15">
        <v>0</v>
      </c>
      <c r="X73" s="14" t="s">
        <v>284</v>
      </c>
      <c r="Y73" s="15">
        <v>0</v>
      </c>
      <c r="Z73" s="14" t="s">
        <v>592</v>
      </c>
      <c r="AA73" s="15">
        <v>0</v>
      </c>
      <c r="AB73" s="14" t="s">
        <v>284</v>
      </c>
      <c r="AC73" s="15">
        <v>0</v>
      </c>
      <c r="AD73" s="14" t="s">
        <v>284</v>
      </c>
      <c r="AE73" s="15">
        <v>0</v>
      </c>
      <c r="AF73" s="14" t="s">
        <v>284</v>
      </c>
      <c r="AG73" s="15">
        <v>0</v>
      </c>
    </row>
    <row r="74" spans="1:33" x14ac:dyDescent="0.2">
      <c r="A74" s="2" t="s">
        <v>3</v>
      </c>
      <c r="B74" s="3" t="s">
        <v>35</v>
      </c>
      <c r="C74" s="2" t="s">
        <v>43</v>
      </c>
      <c r="D74" s="6" t="s">
        <v>192</v>
      </c>
      <c r="E74" s="12" t="s">
        <v>0</v>
      </c>
      <c r="F74" s="14" t="s">
        <v>587</v>
      </c>
      <c r="G74" s="15">
        <v>0</v>
      </c>
      <c r="H74" s="14" t="s">
        <v>284</v>
      </c>
      <c r="I74" s="15">
        <v>0</v>
      </c>
      <c r="J74" s="14" t="s">
        <v>284</v>
      </c>
      <c r="K74" s="15">
        <v>0</v>
      </c>
      <c r="L74" s="14" t="s">
        <v>284</v>
      </c>
      <c r="M74" s="15">
        <v>0</v>
      </c>
      <c r="N74" s="14" t="s">
        <v>588</v>
      </c>
      <c r="O74" s="15">
        <v>0</v>
      </c>
      <c r="P74" s="14">
        <v>16.11</v>
      </c>
      <c r="Q74" s="15">
        <v>0</v>
      </c>
      <c r="R74" s="14">
        <v>20.76</v>
      </c>
      <c r="S74" s="15">
        <v>0</v>
      </c>
      <c r="T74" s="14" t="s">
        <v>591</v>
      </c>
      <c r="U74" s="15">
        <v>0</v>
      </c>
      <c r="V74" s="14">
        <v>774.66</v>
      </c>
      <c r="W74" s="15">
        <v>0</v>
      </c>
      <c r="X74" s="14" t="s">
        <v>284</v>
      </c>
      <c r="Y74" s="15">
        <v>0</v>
      </c>
      <c r="Z74" s="14" t="s">
        <v>592</v>
      </c>
      <c r="AA74" s="15">
        <v>0</v>
      </c>
      <c r="AB74" s="14" t="s">
        <v>284</v>
      </c>
      <c r="AC74" s="15">
        <v>0</v>
      </c>
      <c r="AD74" s="14" t="s">
        <v>284</v>
      </c>
      <c r="AE74" s="15">
        <v>0</v>
      </c>
      <c r="AF74" s="14" t="s">
        <v>284</v>
      </c>
      <c r="AG74" s="15">
        <v>0</v>
      </c>
    </row>
    <row r="75" spans="1:33" x14ac:dyDescent="0.2">
      <c r="A75" s="2" t="s">
        <v>3</v>
      </c>
      <c r="B75" s="3" t="s">
        <v>35</v>
      </c>
      <c r="C75" s="2" t="s">
        <v>42</v>
      </c>
      <c r="D75" s="6" t="s">
        <v>193</v>
      </c>
      <c r="E75" s="12" t="s">
        <v>0</v>
      </c>
      <c r="F75" s="14" t="s">
        <v>587</v>
      </c>
      <c r="G75" s="15">
        <v>0</v>
      </c>
      <c r="H75" s="14" t="s">
        <v>284</v>
      </c>
      <c r="I75" s="15">
        <v>0</v>
      </c>
      <c r="J75" s="14" t="s">
        <v>284</v>
      </c>
      <c r="K75" s="15">
        <v>0</v>
      </c>
      <c r="L75" s="14" t="s">
        <v>284</v>
      </c>
      <c r="M75" s="15">
        <v>0</v>
      </c>
      <c r="N75" s="14" t="s">
        <v>588</v>
      </c>
      <c r="O75" s="15">
        <v>0</v>
      </c>
      <c r="P75" s="14">
        <v>16.11</v>
      </c>
      <c r="Q75" s="15">
        <v>0</v>
      </c>
      <c r="R75" s="14">
        <v>6.49</v>
      </c>
      <c r="S75" s="15">
        <v>0</v>
      </c>
      <c r="T75" s="14" t="s">
        <v>591</v>
      </c>
      <c r="U75" s="15">
        <v>0</v>
      </c>
      <c r="V75" s="14">
        <v>488.31</v>
      </c>
      <c r="W75" s="15">
        <v>0</v>
      </c>
      <c r="X75" s="14" t="s">
        <v>284</v>
      </c>
      <c r="Y75" s="15">
        <v>0</v>
      </c>
      <c r="Z75" s="14" t="s">
        <v>592</v>
      </c>
      <c r="AA75" s="15">
        <v>0</v>
      </c>
      <c r="AB75" s="14" t="s">
        <v>284</v>
      </c>
      <c r="AC75" s="15">
        <v>0</v>
      </c>
      <c r="AD75" s="14" t="s">
        <v>284</v>
      </c>
      <c r="AE75" s="15">
        <v>0</v>
      </c>
      <c r="AF75" s="14" t="s">
        <v>284</v>
      </c>
      <c r="AG75" s="15">
        <v>0</v>
      </c>
    </row>
    <row r="76" spans="1:33" x14ac:dyDescent="0.2">
      <c r="A76" s="2" t="s">
        <v>3</v>
      </c>
      <c r="B76" s="3" t="s">
        <v>35</v>
      </c>
      <c r="C76" s="2" t="s">
        <v>41</v>
      </c>
      <c r="D76" s="6" t="s">
        <v>194</v>
      </c>
      <c r="E76" s="12" t="s">
        <v>0</v>
      </c>
      <c r="F76" s="14" t="s">
        <v>587</v>
      </c>
      <c r="G76" s="15">
        <v>0</v>
      </c>
      <c r="H76" s="14" t="s">
        <v>284</v>
      </c>
      <c r="I76" s="15">
        <v>0</v>
      </c>
      <c r="J76" s="14" t="s">
        <v>284</v>
      </c>
      <c r="K76" s="15">
        <v>0</v>
      </c>
      <c r="L76" s="14" t="s">
        <v>284</v>
      </c>
      <c r="M76" s="15">
        <v>0</v>
      </c>
      <c r="N76" s="14" t="s">
        <v>588</v>
      </c>
      <c r="O76" s="15">
        <v>0</v>
      </c>
      <c r="P76" s="14">
        <v>14.45</v>
      </c>
      <c r="Q76" s="15">
        <v>0</v>
      </c>
      <c r="R76" s="14" t="s">
        <v>590</v>
      </c>
      <c r="S76" s="15">
        <v>0</v>
      </c>
      <c r="T76" s="14" t="s">
        <v>591</v>
      </c>
      <c r="U76" s="15">
        <v>0</v>
      </c>
      <c r="V76" s="14">
        <v>276.13</v>
      </c>
      <c r="W76" s="15">
        <v>0</v>
      </c>
      <c r="X76" s="14" t="s">
        <v>284</v>
      </c>
      <c r="Y76" s="15">
        <v>0</v>
      </c>
      <c r="Z76" s="14" t="s">
        <v>592</v>
      </c>
      <c r="AA76" s="15">
        <v>0</v>
      </c>
      <c r="AB76" s="14" t="s">
        <v>284</v>
      </c>
      <c r="AC76" s="15">
        <v>0</v>
      </c>
      <c r="AD76" s="14" t="s">
        <v>284</v>
      </c>
      <c r="AE76" s="15">
        <v>0</v>
      </c>
      <c r="AF76" s="14" t="s">
        <v>284</v>
      </c>
      <c r="AG76" s="15">
        <v>0</v>
      </c>
    </row>
    <row r="77" spans="1:33" x14ac:dyDescent="0.2">
      <c r="A77" s="2" t="s">
        <v>3</v>
      </c>
      <c r="B77" s="3" t="s">
        <v>35</v>
      </c>
      <c r="C77" s="2" t="s">
        <v>40</v>
      </c>
      <c r="D77" s="6" t="s">
        <v>195</v>
      </c>
      <c r="E77" s="12" t="s">
        <v>0</v>
      </c>
      <c r="F77" s="14" t="s">
        <v>587</v>
      </c>
      <c r="G77" s="15">
        <v>0</v>
      </c>
      <c r="H77" s="14" t="s">
        <v>284</v>
      </c>
      <c r="I77" s="15">
        <v>0</v>
      </c>
      <c r="J77" s="14" t="s">
        <v>284</v>
      </c>
      <c r="K77" s="15">
        <v>0</v>
      </c>
      <c r="L77" s="14" t="s">
        <v>284</v>
      </c>
      <c r="M77" s="15">
        <v>0</v>
      </c>
      <c r="N77" s="14" t="s">
        <v>588</v>
      </c>
      <c r="O77" s="15">
        <v>0</v>
      </c>
      <c r="P77" s="14">
        <v>879.06</v>
      </c>
      <c r="Q77" s="15">
        <v>0</v>
      </c>
      <c r="R77" s="14">
        <v>227.43</v>
      </c>
      <c r="S77" s="15">
        <v>0</v>
      </c>
      <c r="T77" s="14">
        <v>34.909999999999997</v>
      </c>
      <c r="U77" s="15">
        <v>0</v>
      </c>
      <c r="V77" s="14">
        <v>1076</v>
      </c>
      <c r="W77" s="15">
        <v>0</v>
      </c>
      <c r="X77" s="14" t="s">
        <v>284</v>
      </c>
      <c r="Y77" s="15">
        <v>0</v>
      </c>
      <c r="Z77" s="14" t="s">
        <v>592</v>
      </c>
      <c r="AA77" s="15">
        <v>0</v>
      </c>
      <c r="AB77" s="14" t="s">
        <v>284</v>
      </c>
      <c r="AC77" s="15">
        <v>0</v>
      </c>
      <c r="AD77" s="14" t="s">
        <v>284</v>
      </c>
      <c r="AE77" s="15">
        <v>0</v>
      </c>
      <c r="AF77" s="14" t="s">
        <v>284</v>
      </c>
      <c r="AG77" s="15">
        <v>0</v>
      </c>
    </row>
    <row r="78" spans="1:33" x14ac:dyDescent="0.2">
      <c r="A78" s="2" t="s">
        <v>3</v>
      </c>
      <c r="B78" s="3" t="s">
        <v>35</v>
      </c>
      <c r="C78" s="2" t="s">
        <v>39</v>
      </c>
      <c r="D78" s="6" t="s">
        <v>196</v>
      </c>
      <c r="E78" s="12" t="s">
        <v>0</v>
      </c>
      <c r="F78" s="14" t="s">
        <v>587</v>
      </c>
      <c r="G78" s="15">
        <v>0</v>
      </c>
      <c r="H78" s="14" t="s">
        <v>284</v>
      </c>
      <c r="I78" s="15">
        <v>0</v>
      </c>
      <c r="J78" s="14" t="s">
        <v>284</v>
      </c>
      <c r="K78" s="15">
        <v>0</v>
      </c>
      <c r="L78" s="14" t="s">
        <v>284</v>
      </c>
      <c r="M78" s="15">
        <v>0</v>
      </c>
      <c r="N78" s="14" t="s">
        <v>588</v>
      </c>
      <c r="O78" s="15">
        <v>0</v>
      </c>
      <c r="P78" s="14">
        <v>2566.4</v>
      </c>
      <c r="Q78" s="15">
        <v>0</v>
      </c>
      <c r="R78" s="14">
        <v>1088.49</v>
      </c>
      <c r="S78" s="15">
        <v>0</v>
      </c>
      <c r="T78" s="14">
        <v>422.07</v>
      </c>
      <c r="U78" s="15">
        <v>0</v>
      </c>
      <c r="V78" s="14">
        <v>545.49</v>
      </c>
      <c r="W78" s="15">
        <v>0</v>
      </c>
      <c r="X78" s="14" t="s">
        <v>284</v>
      </c>
      <c r="Y78" s="15">
        <v>0</v>
      </c>
      <c r="Z78" s="14" t="s">
        <v>592</v>
      </c>
      <c r="AA78" s="15">
        <v>0</v>
      </c>
      <c r="AB78" s="14" t="s">
        <v>284</v>
      </c>
      <c r="AC78" s="15">
        <v>0</v>
      </c>
      <c r="AD78" s="14" t="s">
        <v>284</v>
      </c>
      <c r="AE78" s="15">
        <v>0</v>
      </c>
      <c r="AF78" s="14" t="s">
        <v>284</v>
      </c>
      <c r="AG78" s="15">
        <v>0</v>
      </c>
    </row>
    <row r="79" spans="1:33" x14ac:dyDescent="0.2">
      <c r="A79" s="2" t="s">
        <v>3</v>
      </c>
      <c r="B79" s="3" t="s">
        <v>35</v>
      </c>
      <c r="C79" s="2" t="s">
        <v>38</v>
      </c>
      <c r="D79" s="6" t="s">
        <v>197</v>
      </c>
      <c r="E79" s="12" t="s">
        <v>0</v>
      </c>
      <c r="F79" s="14" t="s">
        <v>587</v>
      </c>
      <c r="G79" s="15">
        <v>0</v>
      </c>
      <c r="H79" s="14" t="s">
        <v>284</v>
      </c>
      <c r="I79" s="15">
        <v>0</v>
      </c>
      <c r="J79" s="14" t="s">
        <v>284</v>
      </c>
      <c r="K79" s="15">
        <v>0</v>
      </c>
      <c r="L79" s="14" t="s">
        <v>284</v>
      </c>
      <c r="M79" s="15">
        <v>0</v>
      </c>
      <c r="N79" s="14" t="s">
        <v>588</v>
      </c>
      <c r="O79" s="15">
        <v>0</v>
      </c>
      <c r="P79" s="14">
        <v>49.67</v>
      </c>
      <c r="Q79" s="15">
        <v>0</v>
      </c>
      <c r="R79" s="14">
        <v>16.420000000000002</v>
      </c>
      <c r="S79" s="15">
        <v>0</v>
      </c>
      <c r="T79" s="14">
        <v>5.87</v>
      </c>
      <c r="U79" s="15">
        <v>0</v>
      </c>
      <c r="V79" s="14">
        <v>330.96</v>
      </c>
      <c r="W79" s="15">
        <v>0</v>
      </c>
      <c r="X79" s="14" t="s">
        <v>284</v>
      </c>
      <c r="Y79" s="15">
        <v>0</v>
      </c>
      <c r="Z79" s="14" t="s">
        <v>592</v>
      </c>
      <c r="AA79" s="15">
        <v>0</v>
      </c>
      <c r="AB79" s="14" t="s">
        <v>284</v>
      </c>
      <c r="AC79" s="15">
        <v>0</v>
      </c>
      <c r="AD79" s="14" t="s">
        <v>284</v>
      </c>
      <c r="AE79" s="15">
        <v>0</v>
      </c>
      <c r="AF79" s="14" t="s">
        <v>284</v>
      </c>
      <c r="AG79" s="15">
        <v>0</v>
      </c>
    </row>
    <row r="80" spans="1:33" x14ac:dyDescent="0.2">
      <c r="A80" s="2" t="s">
        <v>3</v>
      </c>
      <c r="B80" s="3" t="s">
        <v>35</v>
      </c>
      <c r="C80" s="2" t="s">
        <v>37</v>
      </c>
      <c r="D80" s="6" t="s">
        <v>198</v>
      </c>
      <c r="E80" s="12" t="s">
        <v>0</v>
      </c>
      <c r="F80" s="14" t="s">
        <v>587</v>
      </c>
      <c r="G80" s="15">
        <v>0</v>
      </c>
      <c r="H80" s="14" t="s">
        <v>284</v>
      </c>
      <c r="I80" s="15">
        <v>0</v>
      </c>
      <c r="J80" s="14" t="s">
        <v>284</v>
      </c>
      <c r="K80" s="15">
        <v>0</v>
      </c>
      <c r="L80" s="14" t="s">
        <v>284</v>
      </c>
      <c r="M80" s="15">
        <v>0</v>
      </c>
      <c r="N80" s="14" t="s">
        <v>588</v>
      </c>
      <c r="O80" s="15">
        <v>0</v>
      </c>
      <c r="P80" s="14">
        <v>466.22</v>
      </c>
      <c r="Q80" s="15">
        <v>0</v>
      </c>
      <c r="R80" s="14">
        <v>12.64</v>
      </c>
      <c r="S80" s="15">
        <v>0</v>
      </c>
      <c r="T80" s="14">
        <v>9.61</v>
      </c>
      <c r="U80" s="15">
        <v>0</v>
      </c>
      <c r="V80" s="14">
        <v>364.78</v>
      </c>
      <c r="W80" s="15">
        <v>0</v>
      </c>
      <c r="X80" s="14" t="s">
        <v>284</v>
      </c>
      <c r="Y80" s="15">
        <v>0</v>
      </c>
      <c r="Z80" s="14" t="s">
        <v>592</v>
      </c>
      <c r="AA80" s="15">
        <v>0</v>
      </c>
      <c r="AB80" s="14" t="s">
        <v>284</v>
      </c>
      <c r="AC80" s="15">
        <v>0</v>
      </c>
      <c r="AD80" s="14" t="s">
        <v>284</v>
      </c>
      <c r="AE80" s="15">
        <v>0</v>
      </c>
      <c r="AF80" s="14" t="s">
        <v>284</v>
      </c>
      <c r="AG80" s="15">
        <v>0</v>
      </c>
    </row>
    <row r="81" spans="1:33" x14ac:dyDescent="0.2">
      <c r="A81" s="2" t="s">
        <v>3</v>
      </c>
      <c r="B81" s="3" t="s">
        <v>35</v>
      </c>
      <c r="C81" s="2" t="s">
        <v>36</v>
      </c>
      <c r="D81" s="6" t="s">
        <v>199</v>
      </c>
      <c r="E81" s="12" t="s">
        <v>0</v>
      </c>
      <c r="F81" s="14" t="s">
        <v>587</v>
      </c>
      <c r="G81" s="15">
        <v>0</v>
      </c>
      <c r="H81" s="14" t="s">
        <v>284</v>
      </c>
      <c r="I81" s="15">
        <v>0</v>
      </c>
      <c r="J81" s="14" t="s">
        <v>284</v>
      </c>
      <c r="K81" s="15">
        <v>0</v>
      </c>
      <c r="L81" s="14" t="s">
        <v>284</v>
      </c>
      <c r="M81" s="15">
        <v>0</v>
      </c>
      <c r="N81" s="14" t="s">
        <v>588</v>
      </c>
      <c r="O81" s="15">
        <v>0</v>
      </c>
      <c r="P81" s="14">
        <v>101.62</v>
      </c>
      <c r="Q81" s="15">
        <v>0</v>
      </c>
      <c r="R81" s="14">
        <v>12.36</v>
      </c>
      <c r="S81" s="15">
        <v>0</v>
      </c>
      <c r="T81" s="14" t="s">
        <v>591</v>
      </c>
      <c r="U81" s="15">
        <v>0</v>
      </c>
      <c r="V81" s="14">
        <v>413.48</v>
      </c>
      <c r="W81" s="15">
        <v>0</v>
      </c>
      <c r="X81" s="14" t="s">
        <v>284</v>
      </c>
      <c r="Y81" s="15">
        <v>0</v>
      </c>
      <c r="Z81" s="14" t="s">
        <v>592</v>
      </c>
      <c r="AA81" s="15">
        <v>0</v>
      </c>
      <c r="AB81" s="14" t="s">
        <v>284</v>
      </c>
      <c r="AC81" s="15">
        <v>0</v>
      </c>
      <c r="AD81" s="14" t="s">
        <v>284</v>
      </c>
      <c r="AE81" s="15">
        <v>0</v>
      </c>
      <c r="AF81" s="14" t="s">
        <v>284</v>
      </c>
      <c r="AG81" s="15">
        <v>0</v>
      </c>
    </row>
    <row r="82" spans="1:33" x14ac:dyDescent="0.2">
      <c r="A82" s="2" t="s">
        <v>3</v>
      </c>
      <c r="B82" s="3" t="s">
        <v>35</v>
      </c>
      <c r="C82" s="2" t="s">
        <v>34</v>
      </c>
      <c r="D82" s="6" t="s">
        <v>200</v>
      </c>
      <c r="E82" s="12" t="s">
        <v>0</v>
      </c>
      <c r="F82" s="14" t="s">
        <v>587</v>
      </c>
      <c r="G82" s="15">
        <v>0</v>
      </c>
      <c r="H82" s="14" t="s">
        <v>284</v>
      </c>
      <c r="I82" s="15">
        <v>0</v>
      </c>
      <c r="J82" s="14" t="s">
        <v>284</v>
      </c>
      <c r="K82" s="15">
        <v>0</v>
      </c>
      <c r="L82" s="14" t="s">
        <v>284</v>
      </c>
      <c r="M82" s="15">
        <v>0</v>
      </c>
      <c r="N82" s="14" t="s">
        <v>588</v>
      </c>
      <c r="O82" s="15">
        <v>0</v>
      </c>
      <c r="P82" s="14">
        <v>53.14</v>
      </c>
      <c r="Q82" s="15">
        <v>0</v>
      </c>
      <c r="R82" s="14">
        <v>7.32</v>
      </c>
      <c r="S82" s="15">
        <v>0</v>
      </c>
      <c r="T82" s="14" t="s">
        <v>591</v>
      </c>
      <c r="U82" s="15">
        <v>0</v>
      </c>
      <c r="V82" s="14">
        <v>317.77</v>
      </c>
      <c r="W82" s="15">
        <v>0</v>
      </c>
      <c r="X82" s="14" t="s">
        <v>284</v>
      </c>
      <c r="Y82" s="15">
        <v>0</v>
      </c>
      <c r="Z82" s="14" t="s">
        <v>592</v>
      </c>
      <c r="AA82" s="15">
        <v>0</v>
      </c>
      <c r="AB82" s="14" t="s">
        <v>284</v>
      </c>
      <c r="AC82" s="15">
        <v>0</v>
      </c>
      <c r="AD82" s="14" t="s">
        <v>284</v>
      </c>
      <c r="AE82" s="15">
        <v>0</v>
      </c>
      <c r="AF82" s="14" t="s">
        <v>284</v>
      </c>
      <c r="AG82" s="15">
        <v>0</v>
      </c>
    </row>
    <row r="83" spans="1:33" x14ac:dyDescent="0.2">
      <c r="A83" s="2" t="s">
        <v>3</v>
      </c>
      <c r="B83" s="3" t="s">
        <v>2</v>
      </c>
      <c r="C83" s="2" t="s">
        <v>33</v>
      </c>
      <c r="D83" s="6" t="s">
        <v>201</v>
      </c>
      <c r="E83" s="12" t="s">
        <v>0</v>
      </c>
      <c r="F83" s="14" t="s">
        <v>587</v>
      </c>
      <c r="G83" s="15">
        <v>0</v>
      </c>
      <c r="H83" s="14" t="s">
        <v>284</v>
      </c>
      <c r="I83" s="15">
        <v>0</v>
      </c>
      <c r="J83" s="14" t="s">
        <v>284</v>
      </c>
      <c r="K83" s="15">
        <v>0</v>
      </c>
      <c r="L83" s="14" t="s">
        <v>284</v>
      </c>
      <c r="M83" s="15">
        <v>0</v>
      </c>
      <c r="N83" s="14" t="s">
        <v>588</v>
      </c>
      <c r="O83" s="15">
        <v>0</v>
      </c>
      <c r="P83" s="14">
        <v>20.16</v>
      </c>
      <c r="Q83" s="15">
        <v>0</v>
      </c>
      <c r="R83" s="14">
        <v>12.73</v>
      </c>
      <c r="S83" s="15">
        <v>0</v>
      </c>
      <c r="T83" s="14">
        <v>10.17</v>
      </c>
      <c r="U83" s="15">
        <v>0</v>
      </c>
      <c r="V83" s="14">
        <v>178.67</v>
      </c>
      <c r="W83" s="15">
        <v>0</v>
      </c>
      <c r="X83" s="14" t="s">
        <v>284</v>
      </c>
      <c r="Y83" s="15">
        <v>0</v>
      </c>
      <c r="Z83" s="14" t="s">
        <v>592</v>
      </c>
      <c r="AA83" s="15">
        <v>0</v>
      </c>
      <c r="AB83" s="14" t="s">
        <v>284</v>
      </c>
      <c r="AC83" s="15">
        <v>0</v>
      </c>
      <c r="AD83" s="14" t="s">
        <v>284</v>
      </c>
      <c r="AE83" s="15">
        <v>0</v>
      </c>
      <c r="AF83" s="14" t="s">
        <v>284</v>
      </c>
      <c r="AG83" s="15">
        <v>0</v>
      </c>
    </row>
    <row r="84" spans="1:33" x14ac:dyDescent="0.2">
      <c r="A84" s="2" t="s">
        <v>3</v>
      </c>
      <c r="B84" s="3" t="s">
        <v>2</v>
      </c>
      <c r="C84" s="2" t="s">
        <v>32</v>
      </c>
      <c r="D84" s="6" t="s">
        <v>202</v>
      </c>
      <c r="E84" s="12" t="s">
        <v>0</v>
      </c>
      <c r="F84" s="14" t="s">
        <v>587</v>
      </c>
      <c r="G84" s="15">
        <v>0</v>
      </c>
      <c r="H84" s="14" t="s">
        <v>284</v>
      </c>
      <c r="I84" s="15">
        <v>0</v>
      </c>
      <c r="J84" s="14" t="s">
        <v>284</v>
      </c>
      <c r="K84" s="15">
        <v>0</v>
      </c>
      <c r="L84" s="14" t="s">
        <v>284</v>
      </c>
      <c r="M84" s="15">
        <v>0</v>
      </c>
      <c r="N84" s="14" t="s">
        <v>588</v>
      </c>
      <c r="O84" s="15">
        <v>0</v>
      </c>
      <c r="P84" s="14">
        <v>27.93</v>
      </c>
      <c r="Q84" s="15">
        <v>0</v>
      </c>
      <c r="R84" s="14">
        <v>25.41</v>
      </c>
      <c r="S84" s="15">
        <v>0</v>
      </c>
      <c r="T84" s="14" t="s">
        <v>591</v>
      </c>
      <c r="U84" s="15">
        <v>0</v>
      </c>
      <c r="V84" s="14">
        <v>749.58</v>
      </c>
      <c r="W84" s="15">
        <v>0</v>
      </c>
      <c r="X84" s="14" t="s">
        <v>284</v>
      </c>
      <c r="Y84" s="15">
        <v>0</v>
      </c>
      <c r="Z84" s="14" t="s">
        <v>592</v>
      </c>
      <c r="AA84" s="15">
        <v>0</v>
      </c>
      <c r="AB84" s="14" t="s">
        <v>284</v>
      </c>
      <c r="AC84" s="15">
        <v>0</v>
      </c>
      <c r="AD84" s="14" t="s">
        <v>284</v>
      </c>
      <c r="AE84" s="15">
        <v>0</v>
      </c>
      <c r="AF84" s="14" t="s">
        <v>284</v>
      </c>
      <c r="AG84" s="15">
        <v>0</v>
      </c>
    </row>
    <row r="85" spans="1:33" x14ac:dyDescent="0.2">
      <c r="A85" s="2" t="s">
        <v>3</v>
      </c>
      <c r="B85" s="3" t="s">
        <v>2</v>
      </c>
      <c r="C85" s="2" t="s">
        <v>31</v>
      </c>
      <c r="D85" s="6" t="s">
        <v>203</v>
      </c>
      <c r="E85" s="12" t="s">
        <v>0</v>
      </c>
      <c r="F85" s="14" t="s">
        <v>587</v>
      </c>
      <c r="G85" s="15">
        <v>0</v>
      </c>
      <c r="H85" s="14" t="s">
        <v>284</v>
      </c>
      <c r="I85" s="15">
        <v>0</v>
      </c>
      <c r="J85" s="14" t="s">
        <v>284</v>
      </c>
      <c r="K85" s="15">
        <v>0</v>
      </c>
      <c r="L85" s="14" t="s">
        <v>284</v>
      </c>
      <c r="M85" s="15">
        <v>0</v>
      </c>
      <c r="N85" s="14" t="s">
        <v>588</v>
      </c>
      <c r="O85" s="15">
        <v>0</v>
      </c>
      <c r="P85" s="14">
        <v>46.16</v>
      </c>
      <c r="Q85" s="15">
        <v>0</v>
      </c>
      <c r="R85" s="14">
        <v>52.63</v>
      </c>
      <c r="S85" s="15">
        <v>0</v>
      </c>
      <c r="T85" s="14" t="s">
        <v>591</v>
      </c>
      <c r="U85" s="15">
        <v>0</v>
      </c>
      <c r="V85" s="14">
        <v>205.08</v>
      </c>
      <c r="W85" s="15">
        <v>0</v>
      </c>
      <c r="X85" s="14" t="s">
        <v>284</v>
      </c>
      <c r="Y85" s="15">
        <v>0</v>
      </c>
      <c r="Z85" s="14" t="s">
        <v>592</v>
      </c>
      <c r="AA85" s="15">
        <v>0</v>
      </c>
      <c r="AB85" s="14" t="s">
        <v>284</v>
      </c>
      <c r="AC85" s="15">
        <v>0</v>
      </c>
      <c r="AD85" s="14">
        <v>13.06</v>
      </c>
      <c r="AE85" s="15">
        <v>0</v>
      </c>
      <c r="AF85" s="14" t="s">
        <v>284</v>
      </c>
      <c r="AG85" s="15">
        <v>0</v>
      </c>
    </row>
    <row r="86" spans="1:33" x14ac:dyDescent="0.2">
      <c r="A86" s="2" t="s">
        <v>3</v>
      </c>
      <c r="B86" s="3" t="s">
        <v>2</v>
      </c>
      <c r="C86" s="2" t="s">
        <v>30</v>
      </c>
      <c r="D86" s="6" t="s">
        <v>204</v>
      </c>
      <c r="E86" s="12" t="s">
        <v>0</v>
      </c>
      <c r="F86" s="14" t="s">
        <v>587</v>
      </c>
      <c r="G86" s="15">
        <v>0</v>
      </c>
      <c r="H86" s="14" t="s">
        <v>284</v>
      </c>
      <c r="I86" s="15">
        <v>0</v>
      </c>
      <c r="J86" s="14" t="s">
        <v>284</v>
      </c>
      <c r="K86" s="15">
        <v>0</v>
      </c>
      <c r="L86" s="14" t="s">
        <v>284</v>
      </c>
      <c r="M86" s="15">
        <v>0</v>
      </c>
      <c r="N86" s="14">
        <v>42.71</v>
      </c>
      <c r="O86" s="15">
        <v>0</v>
      </c>
      <c r="P86" s="14">
        <v>2182</v>
      </c>
      <c r="Q86" s="15">
        <v>0</v>
      </c>
      <c r="R86" s="14">
        <v>315.57</v>
      </c>
      <c r="S86" s="15">
        <v>0</v>
      </c>
      <c r="T86" s="14">
        <v>48.47</v>
      </c>
      <c r="U86" s="15">
        <v>0</v>
      </c>
      <c r="V86" s="14">
        <v>403.19</v>
      </c>
      <c r="W86" s="15">
        <v>0</v>
      </c>
      <c r="X86" s="14" t="s">
        <v>284</v>
      </c>
      <c r="Y86" s="15">
        <v>0</v>
      </c>
      <c r="Z86" s="14" t="s">
        <v>592</v>
      </c>
      <c r="AA86" s="15">
        <v>0</v>
      </c>
      <c r="AB86" s="14" t="s">
        <v>284</v>
      </c>
      <c r="AC86" s="15">
        <v>0</v>
      </c>
      <c r="AD86" s="14" t="s">
        <v>284</v>
      </c>
      <c r="AE86" s="15">
        <v>0</v>
      </c>
      <c r="AF86" s="14" t="s">
        <v>284</v>
      </c>
      <c r="AG86" s="15">
        <v>0</v>
      </c>
    </row>
    <row r="87" spans="1:33" x14ac:dyDescent="0.2">
      <c r="A87" s="2" t="s">
        <v>3</v>
      </c>
      <c r="B87" s="3" t="s">
        <v>2</v>
      </c>
      <c r="C87" s="2" t="s">
        <v>29</v>
      </c>
      <c r="D87" s="6" t="s">
        <v>205</v>
      </c>
      <c r="E87" s="12" t="s">
        <v>0</v>
      </c>
      <c r="F87" s="14" t="s">
        <v>587</v>
      </c>
      <c r="G87" s="15">
        <v>0</v>
      </c>
      <c r="H87" s="14" t="s">
        <v>284</v>
      </c>
      <c r="I87" s="15">
        <v>0</v>
      </c>
      <c r="J87" s="14" t="s">
        <v>284</v>
      </c>
      <c r="K87" s="15">
        <v>0</v>
      </c>
      <c r="L87" s="14" t="s">
        <v>284</v>
      </c>
      <c r="M87" s="15">
        <v>0</v>
      </c>
      <c r="N87" s="14" t="s">
        <v>588</v>
      </c>
      <c r="O87" s="15">
        <v>0</v>
      </c>
      <c r="P87" s="14">
        <v>31.69</v>
      </c>
      <c r="Q87" s="15">
        <v>0</v>
      </c>
      <c r="R87" s="14">
        <v>12.54</v>
      </c>
      <c r="S87" s="15">
        <v>0</v>
      </c>
      <c r="T87" s="14">
        <v>18.25</v>
      </c>
      <c r="U87" s="15">
        <v>0</v>
      </c>
      <c r="V87" s="14">
        <v>525.78</v>
      </c>
      <c r="W87" s="15">
        <v>0</v>
      </c>
      <c r="X87" s="14" t="s">
        <v>284</v>
      </c>
      <c r="Y87" s="15">
        <v>0</v>
      </c>
      <c r="Z87" s="14" t="s">
        <v>592</v>
      </c>
      <c r="AA87" s="15">
        <v>0</v>
      </c>
      <c r="AB87" s="14" t="s">
        <v>284</v>
      </c>
      <c r="AC87" s="15">
        <v>0</v>
      </c>
      <c r="AD87" s="14" t="s">
        <v>284</v>
      </c>
      <c r="AE87" s="15">
        <v>0</v>
      </c>
      <c r="AF87" s="14" t="s">
        <v>284</v>
      </c>
      <c r="AG87" s="15">
        <v>0</v>
      </c>
    </row>
    <row r="88" spans="1:33" x14ac:dyDescent="0.2">
      <c r="A88" s="2" t="s">
        <v>3</v>
      </c>
      <c r="B88" s="3" t="s">
        <v>2</v>
      </c>
      <c r="C88" s="2" t="s">
        <v>28</v>
      </c>
      <c r="D88" s="6" t="s">
        <v>206</v>
      </c>
      <c r="E88" s="12" t="s">
        <v>0</v>
      </c>
      <c r="F88" s="14" t="s">
        <v>587</v>
      </c>
      <c r="G88" s="15">
        <v>0</v>
      </c>
      <c r="H88" s="14" t="s">
        <v>284</v>
      </c>
      <c r="I88" s="15">
        <v>0</v>
      </c>
      <c r="J88" s="14" t="s">
        <v>284</v>
      </c>
      <c r="K88" s="15">
        <v>0</v>
      </c>
      <c r="L88" s="14" t="s">
        <v>284</v>
      </c>
      <c r="M88" s="15">
        <v>0</v>
      </c>
      <c r="N88" s="14" t="s">
        <v>588</v>
      </c>
      <c r="O88" s="15">
        <v>0</v>
      </c>
      <c r="P88" s="14" t="s">
        <v>589</v>
      </c>
      <c r="Q88" s="15">
        <v>0</v>
      </c>
      <c r="R88" s="14">
        <v>29.57</v>
      </c>
      <c r="S88" s="15">
        <v>0</v>
      </c>
      <c r="T88" s="14" t="s">
        <v>578</v>
      </c>
      <c r="U88" s="15">
        <v>0</v>
      </c>
      <c r="V88" s="14">
        <v>654.01</v>
      </c>
      <c r="W88" s="15">
        <v>0</v>
      </c>
      <c r="X88" s="14" t="s">
        <v>284</v>
      </c>
      <c r="Y88" s="15">
        <v>0</v>
      </c>
      <c r="Z88" s="14" t="s">
        <v>592</v>
      </c>
      <c r="AA88" s="15">
        <v>0</v>
      </c>
      <c r="AB88" s="14" t="s">
        <v>284</v>
      </c>
      <c r="AC88" s="15">
        <v>0</v>
      </c>
      <c r="AD88" s="14" t="s">
        <v>284</v>
      </c>
      <c r="AE88" s="15">
        <v>0</v>
      </c>
      <c r="AF88" s="14" t="s">
        <v>284</v>
      </c>
      <c r="AG88" s="15">
        <v>0</v>
      </c>
    </row>
    <row r="89" spans="1:33" x14ac:dyDescent="0.2">
      <c r="A89" s="2" t="s">
        <v>3</v>
      </c>
      <c r="B89" s="3" t="s">
        <v>2</v>
      </c>
      <c r="C89" s="2" t="s">
        <v>27</v>
      </c>
      <c r="D89" s="6" t="s">
        <v>207</v>
      </c>
      <c r="E89" s="12" t="s">
        <v>0</v>
      </c>
      <c r="F89" s="14" t="s">
        <v>587</v>
      </c>
      <c r="G89" s="15">
        <v>0</v>
      </c>
      <c r="H89" s="14" t="s">
        <v>284</v>
      </c>
      <c r="I89" s="15">
        <v>0</v>
      </c>
      <c r="J89" s="14" t="s">
        <v>284</v>
      </c>
      <c r="K89" s="15">
        <v>0</v>
      </c>
      <c r="L89" s="14" t="s">
        <v>284</v>
      </c>
      <c r="M89" s="15">
        <v>0</v>
      </c>
      <c r="N89" s="14" t="s">
        <v>588</v>
      </c>
      <c r="O89" s="15">
        <v>0</v>
      </c>
      <c r="P89" s="14">
        <v>237.15</v>
      </c>
      <c r="Q89" s="15">
        <v>0</v>
      </c>
      <c r="R89" s="14">
        <v>61.22</v>
      </c>
      <c r="S89" s="15">
        <v>0</v>
      </c>
      <c r="T89" s="14">
        <v>7.77</v>
      </c>
      <c r="U89" s="15">
        <v>0</v>
      </c>
      <c r="V89" s="14">
        <v>393.83</v>
      </c>
      <c r="W89" s="15">
        <v>0</v>
      </c>
      <c r="X89" s="14" t="s">
        <v>284</v>
      </c>
      <c r="Y89" s="15">
        <v>0</v>
      </c>
      <c r="Z89" s="14" t="s">
        <v>592</v>
      </c>
      <c r="AA89" s="15">
        <v>0</v>
      </c>
      <c r="AB89" s="14" t="s">
        <v>284</v>
      </c>
      <c r="AC89" s="15">
        <v>0</v>
      </c>
      <c r="AD89" s="14" t="s">
        <v>284</v>
      </c>
      <c r="AE89" s="15">
        <v>0</v>
      </c>
      <c r="AF89" s="14" t="s">
        <v>284</v>
      </c>
      <c r="AG89" s="15">
        <v>0</v>
      </c>
    </row>
    <row r="90" spans="1:33" x14ac:dyDescent="0.2">
      <c r="A90" s="2" t="s">
        <v>3</v>
      </c>
      <c r="B90" s="3" t="s">
        <v>2</v>
      </c>
      <c r="C90" s="2" t="s">
        <v>26</v>
      </c>
      <c r="D90" s="6" t="s">
        <v>208</v>
      </c>
      <c r="E90" s="12" t="s">
        <v>0</v>
      </c>
      <c r="F90" s="14" t="s">
        <v>587</v>
      </c>
      <c r="G90" s="15">
        <v>0</v>
      </c>
      <c r="H90" s="14" t="s">
        <v>284</v>
      </c>
      <c r="I90" s="15">
        <v>0</v>
      </c>
      <c r="J90" s="14" t="s">
        <v>284</v>
      </c>
      <c r="K90" s="15">
        <v>0</v>
      </c>
      <c r="L90" s="14" t="s">
        <v>284</v>
      </c>
      <c r="M90" s="15">
        <v>0</v>
      </c>
      <c r="N90" s="14" t="s">
        <v>588</v>
      </c>
      <c r="O90" s="15">
        <v>0</v>
      </c>
      <c r="P90" s="14">
        <v>48.97</v>
      </c>
      <c r="Q90" s="15">
        <v>0</v>
      </c>
      <c r="R90" s="14">
        <v>8.5399999999999991</v>
      </c>
      <c r="S90" s="15">
        <v>0</v>
      </c>
      <c r="T90" s="14" t="s">
        <v>591</v>
      </c>
      <c r="U90" s="15">
        <v>0</v>
      </c>
      <c r="V90" s="14">
        <v>555.82000000000005</v>
      </c>
      <c r="W90" s="15">
        <v>0</v>
      </c>
      <c r="X90" s="14" t="s">
        <v>284</v>
      </c>
      <c r="Y90" s="15">
        <v>0</v>
      </c>
      <c r="Z90" s="14" t="s">
        <v>592</v>
      </c>
      <c r="AA90" s="15">
        <v>0</v>
      </c>
      <c r="AB90" s="14" t="s">
        <v>284</v>
      </c>
      <c r="AC90" s="15">
        <v>0</v>
      </c>
      <c r="AD90" s="14" t="s">
        <v>284</v>
      </c>
      <c r="AE90" s="15">
        <v>0</v>
      </c>
      <c r="AF90" s="14" t="s">
        <v>284</v>
      </c>
      <c r="AG90" s="15">
        <v>0</v>
      </c>
    </row>
    <row r="91" spans="1:33" x14ac:dyDescent="0.2">
      <c r="A91" s="2" t="s">
        <v>3</v>
      </c>
      <c r="B91" s="3" t="s">
        <v>2</v>
      </c>
      <c r="C91" s="2" t="s">
        <v>25</v>
      </c>
      <c r="D91" s="6" t="s">
        <v>209</v>
      </c>
      <c r="E91" s="12" t="s">
        <v>0</v>
      </c>
      <c r="F91" s="14" t="s">
        <v>587</v>
      </c>
      <c r="G91" s="15">
        <v>0</v>
      </c>
      <c r="H91" s="14" t="s">
        <v>284</v>
      </c>
      <c r="I91" s="15">
        <v>0</v>
      </c>
      <c r="J91" s="14" t="s">
        <v>284</v>
      </c>
      <c r="K91" s="15">
        <v>0</v>
      </c>
      <c r="L91" s="14" t="s">
        <v>284</v>
      </c>
      <c r="M91" s="15">
        <v>0</v>
      </c>
      <c r="N91" s="14" t="s">
        <v>588</v>
      </c>
      <c r="O91" s="15">
        <v>0</v>
      </c>
      <c r="P91" s="14">
        <v>46.16</v>
      </c>
      <c r="Q91" s="15">
        <v>0</v>
      </c>
      <c r="R91" s="14">
        <v>10.67</v>
      </c>
      <c r="S91" s="15">
        <v>0</v>
      </c>
      <c r="T91" s="14">
        <v>5.44</v>
      </c>
      <c r="U91" s="15">
        <v>0</v>
      </c>
      <c r="V91" s="14">
        <v>550.17999999999995</v>
      </c>
      <c r="W91" s="15">
        <v>0</v>
      </c>
      <c r="X91" s="14" t="s">
        <v>284</v>
      </c>
      <c r="Y91" s="15">
        <v>0</v>
      </c>
      <c r="Z91" s="14" t="s">
        <v>592</v>
      </c>
      <c r="AA91" s="15">
        <v>0</v>
      </c>
      <c r="AB91" s="14" t="s">
        <v>284</v>
      </c>
      <c r="AC91" s="15">
        <v>0</v>
      </c>
      <c r="AD91" s="14" t="s">
        <v>284</v>
      </c>
      <c r="AE91" s="15">
        <v>0</v>
      </c>
      <c r="AF91" s="14" t="s">
        <v>284</v>
      </c>
      <c r="AG91" s="15">
        <v>0</v>
      </c>
    </row>
    <row r="92" spans="1:33" x14ac:dyDescent="0.2">
      <c r="A92" s="2" t="s">
        <v>3</v>
      </c>
      <c r="B92" s="3" t="s">
        <v>2</v>
      </c>
      <c r="C92" s="2" t="s">
        <v>24</v>
      </c>
      <c r="D92" s="6" t="s">
        <v>210</v>
      </c>
      <c r="E92" s="12" t="s">
        <v>0</v>
      </c>
      <c r="F92" s="14" t="s">
        <v>587</v>
      </c>
      <c r="G92" s="15">
        <v>0</v>
      </c>
      <c r="H92" s="14" t="s">
        <v>284</v>
      </c>
      <c r="I92" s="15">
        <v>0</v>
      </c>
      <c r="J92" s="14" t="s">
        <v>284</v>
      </c>
      <c r="K92" s="15">
        <v>0</v>
      </c>
      <c r="L92" s="14" t="s">
        <v>284</v>
      </c>
      <c r="M92" s="15">
        <v>0</v>
      </c>
      <c r="N92" s="14" t="s">
        <v>588</v>
      </c>
      <c r="O92" s="15">
        <v>0</v>
      </c>
      <c r="P92" s="14">
        <v>141.44999999999999</v>
      </c>
      <c r="Q92" s="15">
        <v>0</v>
      </c>
      <c r="R92" s="14">
        <v>4.04</v>
      </c>
      <c r="S92" s="15">
        <v>0</v>
      </c>
      <c r="T92" s="14">
        <v>2.15</v>
      </c>
      <c r="U92" s="15">
        <v>0</v>
      </c>
      <c r="V92" s="14">
        <v>246.56</v>
      </c>
      <c r="W92" s="15">
        <v>0</v>
      </c>
      <c r="X92" s="14" t="s">
        <v>284</v>
      </c>
      <c r="Y92" s="15">
        <v>0</v>
      </c>
      <c r="Z92" s="14" t="s">
        <v>592</v>
      </c>
      <c r="AA92" s="15">
        <v>0</v>
      </c>
      <c r="AB92" s="14" t="s">
        <v>284</v>
      </c>
      <c r="AC92" s="15">
        <v>0</v>
      </c>
      <c r="AD92" s="14" t="s">
        <v>284</v>
      </c>
      <c r="AE92" s="15">
        <v>0</v>
      </c>
      <c r="AF92" s="14" t="s">
        <v>284</v>
      </c>
      <c r="AG92" s="15">
        <v>0</v>
      </c>
    </row>
    <row r="93" spans="1:33" x14ac:dyDescent="0.2">
      <c r="A93" s="2" t="s">
        <v>3</v>
      </c>
      <c r="B93" s="3" t="s">
        <v>2</v>
      </c>
      <c r="C93" s="2" t="s">
        <v>23</v>
      </c>
      <c r="D93" s="6" t="s">
        <v>211</v>
      </c>
      <c r="E93" s="12" t="s">
        <v>0</v>
      </c>
      <c r="F93" s="14" t="s">
        <v>587</v>
      </c>
      <c r="G93" s="15">
        <v>0</v>
      </c>
      <c r="H93" s="14" t="s">
        <v>284</v>
      </c>
      <c r="I93" s="15">
        <v>0</v>
      </c>
      <c r="J93" s="14" t="s">
        <v>284</v>
      </c>
      <c r="K93" s="15">
        <v>0</v>
      </c>
      <c r="L93" s="14" t="s">
        <v>284</v>
      </c>
      <c r="M93" s="15">
        <v>0</v>
      </c>
      <c r="N93" s="14" t="s">
        <v>588</v>
      </c>
      <c r="O93" s="15">
        <v>0</v>
      </c>
      <c r="P93" s="14">
        <v>24.86</v>
      </c>
      <c r="Q93" s="15">
        <v>0</v>
      </c>
      <c r="R93" s="14">
        <v>2.5299999999999998</v>
      </c>
      <c r="S93" s="15">
        <v>0</v>
      </c>
      <c r="T93" s="14" t="s">
        <v>591</v>
      </c>
      <c r="U93" s="15">
        <v>0</v>
      </c>
      <c r="V93" s="14">
        <v>448.08</v>
      </c>
      <c r="W93" s="15">
        <v>0</v>
      </c>
      <c r="X93" s="14" t="s">
        <v>284</v>
      </c>
      <c r="Y93" s="15">
        <v>0</v>
      </c>
      <c r="Z93" s="14" t="s">
        <v>592</v>
      </c>
      <c r="AA93" s="15">
        <v>0</v>
      </c>
      <c r="AB93" s="14" t="s">
        <v>284</v>
      </c>
      <c r="AC93" s="15">
        <v>0</v>
      </c>
      <c r="AD93" s="14" t="s">
        <v>284</v>
      </c>
      <c r="AE93" s="15">
        <v>0</v>
      </c>
      <c r="AF93" s="14" t="s">
        <v>284</v>
      </c>
      <c r="AG93" s="15">
        <v>0</v>
      </c>
    </row>
    <row r="94" spans="1:33" x14ac:dyDescent="0.2">
      <c r="A94" s="2" t="s">
        <v>3</v>
      </c>
      <c r="B94" s="3" t="s">
        <v>2</v>
      </c>
      <c r="C94" s="2" t="s">
        <v>22</v>
      </c>
      <c r="D94" s="6" t="s">
        <v>212</v>
      </c>
      <c r="E94" s="12" t="s">
        <v>0</v>
      </c>
      <c r="F94" s="14" t="s">
        <v>587</v>
      </c>
      <c r="G94" s="15">
        <v>0</v>
      </c>
      <c r="H94" s="14" t="s">
        <v>284</v>
      </c>
      <c r="I94" s="15">
        <v>0</v>
      </c>
      <c r="J94" s="14" t="s">
        <v>284</v>
      </c>
      <c r="K94" s="15">
        <v>0</v>
      </c>
      <c r="L94" s="14" t="s">
        <v>284</v>
      </c>
      <c r="M94" s="15">
        <v>0</v>
      </c>
      <c r="N94" s="14" t="s">
        <v>588</v>
      </c>
      <c r="O94" s="15">
        <v>0</v>
      </c>
      <c r="P94" s="14" t="s">
        <v>579</v>
      </c>
      <c r="Q94" s="15">
        <v>0</v>
      </c>
      <c r="R94" s="14">
        <v>4.8499999999999996</v>
      </c>
      <c r="S94" s="15">
        <v>0</v>
      </c>
      <c r="T94" s="14" t="s">
        <v>591</v>
      </c>
      <c r="U94" s="15">
        <v>0</v>
      </c>
      <c r="V94" s="14">
        <v>380.71</v>
      </c>
      <c r="W94" s="15">
        <v>0</v>
      </c>
      <c r="X94" s="14" t="s">
        <v>284</v>
      </c>
      <c r="Y94" s="15">
        <v>0</v>
      </c>
      <c r="Z94" s="14" t="s">
        <v>592</v>
      </c>
      <c r="AA94" s="15">
        <v>0</v>
      </c>
      <c r="AB94" s="14" t="s">
        <v>284</v>
      </c>
      <c r="AC94" s="15">
        <v>0</v>
      </c>
      <c r="AD94" s="14" t="s">
        <v>284</v>
      </c>
      <c r="AE94" s="15">
        <v>0</v>
      </c>
      <c r="AF94" s="14" t="s">
        <v>284</v>
      </c>
      <c r="AG94" s="15">
        <v>0</v>
      </c>
    </row>
    <row r="95" spans="1:33" x14ac:dyDescent="0.2">
      <c r="A95" s="2" t="s">
        <v>3</v>
      </c>
      <c r="B95" s="3" t="s">
        <v>2</v>
      </c>
      <c r="C95" s="2" t="s">
        <v>21</v>
      </c>
      <c r="D95" s="6" t="s">
        <v>213</v>
      </c>
      <c r="E95" s="12" t="s">
        <v>0</v>
      </c>
      <c r="F95" s="14" t="s">
        <v>587</v>
      </c>
      <c r="G95" s="15">
        <v>0</v>
      </c>
      <c r="H95" s="14" t="s">
        <v>284</v>
      </c>
      <c r="I95" s="15">
        <v>0</v>
      </c>
      <c r="J95" s="14" t="s">
        <v>284</v>
      </c>
      <c r="K95" s="15">
        <v>0</v>
      </c>
      <c r="L95" s="14" t="s">
        <v>284</v>
      </c>
      <c r="M95" s="15">
        <v>0</v>
      </c>
      <c r="N95" s="14" t="s">
        <v>588</v>
      </c>
      <c r="O95" s="15">
        <v>0</v>
      </c>
      <c r="P95" s="14" t="s">
        <v>589</v>
      </c>
      <c r="Q95" s="15">
        <v>0</v>
      </c>
      <c r="R95" s="14">
        <v>4.51</v>
      </c>
      <c r="S95" s="15">
        <v>0</v>
      </c>
      <c r="T95" s="14" t="s">
        <v>591</v>
      </c>
      <c r="U95" s="15">
        <v>0</v>
      </c>
      <c r="V95" s="14">
        <v>308.33</v>
      </c>
      <c r="W95" s="15">
        <v>0</v>
      </c>
      <c r="X95" s="14" t="s">
        <v>284</v>
      </c>
      <c r="Y95" s="15">
        <v>0</v>
      </c>
      <c r="Z95" s="14" t="s">
        <v>592</v>
      </c>
      <c r="AA95" s="15">
        <v>0</v>
      </c>
      <c r="AB95" s="14" t="s">
        <v>284</v>
      </c>
      <c r="AC95" s="15">
        <v>0</v>
      </c>
      <c r="AD95" s="14" t="s">
        <v>284</v>
      </c>
      <c r="AE95" s="15">
        <v>0</v>
      </c>
      <c r="AF95" s="14" t="s">
        <v>284</v>
      </c>
      <c r="AG95" s="15">
        <v>0</v>
      </c>
    </row>
    <row r="96" spans="1:33" x14ac:dyDescent="0.2">
      <c r="A96" s="2" t="s">
        <v>3</v>
      </c>
      <c r="B96" s="3" t="s">
        <v>2</v>
      </c>
      <c r="C96" s="2" t="s">
        <v>20</v>
      </c>
      <c r="D96" s="6" t="s">
        <v>214</v>
      </c>
      <c r="E96" s="12" t="s">
        <v>0</v>
      </c>
      <c r="F96" s="14" t="s">
        <v>587</v>
      </c>
      <c r="G96" s="15">
        <v>0</v>
      </c>
      <c r="H96" s="14" t="s">
        <v>284</v>
      </c>
      <c r="I96" s="15">
        <v>0</v>
      </c>
      <c r="J96" s="14" t="s">
        <v>284</v>
      </c>
      <c r="K96" s="15">
        <v>0</v>
      </c>
      <c r="L96" s="14" t="s">
        <v>284</v>
      </c>
      <c r="M96" s="15">
        <v>0</v>
      </c>
      <c r="N96" s="14" t="s">
        <v>588</v>
      </c>
      <c r="O96" s="15">
        <v>0</v>
      </c>
      <c r="P96" s="14">
        <v>249.95</v>
      </c>
      <c r="Q96" s="15">
        <v>0</v>
      </c>
      <c r="R96" s="14">
        <v>28.66</v>
      </c>
      <c r="S96" s="15">
        <v>0</v>
      </c>
      <c r="T96" s="14">
        <v>4.08</v>
      </c>
      <c r="U96" s="15">
        <v>0</v>
      </c>
      <c r="V96" s="14">
        <v>384.46</v>
      </c>
      <c r="W96" s="15">
        <v>0</v>
      </c>
      <c r="X96" s="14" t="s">
        <v>284</v>
      </c>
      <c r="Y96" s="15">
        <v>0</v>
      </c>
      <c r="Z96" s="14" t="s">
        <v>592</v>
      </c>
      <c r="AA96" s="15">
        <v>0</v>
      </c>
      <c r="AB96" s="14" t="s">
        <v>284</v>
      </c>
      <c r="AC96" s="15">
        <v>0</v>
      </c>
      <c r="AD96" s="14" t="s">
        <v>284</v>
      </c>
      <c r="AE96" s="15">
        <v>0</v>
      </c>
      <c r="AF96" s="14" t="s">
        <v>284</v>
      </c>
      <c r="AG96" s="15">
        <v>0</v>
      </c>
    </row>
    <row r="97" spans="1:33" x14ac:dyDescent="0.2">
      <c r="A97" s="2" t="s">
        <v>3</v>
      </c>
      <c r="B97" s="3" t="s">
        <v>2</v>
      </c>
      <c r="C97" s="2" t="s">
        <v>19</v>
      </c>
      <c r="D97" s="6" t="s">
        <v>215</v>
      </c>
      <c r="E97" s="12" t="s">
        <v>0</v>
      </c>
      <c r="F97" s="14" t="s">
        <v>587</v>
      </c>
      <c r="G97" s="15">
        <v>0</v>
      </c>
      <c r="H97" s="14" t="s">
        <v>284</v>
      </c>
      <c r="I97" s="15">
        <v>0</v>
      </c>
      <c r="J97" s="14" t="s">
        <v>284</v>
      </c>
      <c r="K97" s="15">
        <v>0</v>
      </c>
      <c r="L97" s="14" t="s">
        <v>284</v>
      </c>
      <c r="M97" s="15">
        <v>0</v>
      </c>
      <c r="N97" s="14">
        <v>17.149999999999999</v>
      </c>
      <c r="O97" s="15">
        <v>0</v>
      </c>
      <c r="P97" s="14">
        <v>1110.18</v>
      </c>
      <c r="Q97" s="15">
        <v>0</v>
      </c>
      <c r="R97" s="14">
        <v>75.38</v>
      </c>
      <c r="S97" s="15">
        <v>0</v>
      </c>
      <c r="T97" s="14" t="s">
        <v>591</v>
      </c>
      <c r="U97" s="15">
        <v>0</v>
      </c>
      <c r="V97" s="14">
        <v>1028.01</v>
      </c>
      <c r="W97" s="15">
        <v>0</v>
      </c>
      <c r="X97" s="14" t="s">
        <v>284</v>
      </c>
      <c r="Y97" s="15">
        <v>0</v>
      </c>
      <c r="Z97" s="14" t="s">
        <v>592</v>
      </c>
      <c r="AA97" s="15">
        <v>0</v>
      </c>
      <c r="AB97" s="14" t="s">
        <v>284</v>
      </c>
      <c r="AC97" s="15">
        <v>0</v>
      </c>
      <c r="AD97" s="14" t="s">
        <v>284</v>
      </c>
      <c r="AE97" s="15">
        <v>0</v>
      </c>
      <c r="AF97" s="14" t="s">
        <v>284</v>
      </c>
      <c r="AG97" s="15">
        <v>0</v>
      </c>
    </row>
    <row r="98" spans="1:33" x14ac:dyDescent="0.2">
      <c r="A98" s="2" t="s">
        <v>3</v>
      </c>
      <c r="B98" s="3" t="s">
        <v>2</v>
      </c>
      <c r="C98" s="2" t="s">
        <v>18</v>
      </c>
      <c r="D98" s="6" t="s">
        <v>216</v>
      </c>
      <c r="E98" s="12" t="s">
        <v>0</v>
      </c>
      <c r="F98" s="14" t="s">
        <v>587</v>
      </c>
      <c r="G98" s="15">
        <v>0</v>
      </c>
      <c r="H98" s="14" t="s">
        <v>284</v>
      </c>
      <c r="I98" s="15">
        <v>0</v>
      </c>
      <c r="J98" s="14" t="s">
        <v>284</v>
      </c>
      <c r="K98" s="15">
        <v>0</v>
      </c>
      <c r="L98" s="14" t="s">
        <v>284</v>
      </c>
      <c r="M98" s="15">
        <v>0</v>
      </c>
      <c r="N98" s="14" t="s">
        <v>588</v>
      </c>
      <c r="O98" s="15">
        <v>0</v>
      </c>
      <c r="P98" s="14">
        <v>24.86</v>
      </c>
      <c r="Q98" s="15">
        <v>0</v>
      </c>
      <c r="R98" s="14">
        <v>12.54</v>
      </c>
      <c r="S98" s="15">
        <v>0</v>
      </c>
      <c r="T98" s="14" t="s">
        <v>591</v>
      </c>
      <c r="U98" s="15">
        <v>0</v>
      </c>
      <c r="V98" s="14">
        <v>649.27</v>
      </c>
      <c r="W98" s="15">
        <v>0</v>
      </c>
      <c r="X98" s="14" t="s">
        <v>284</v>
      </c>
      <c r="Y98" s="15">
        <v>0</v>
      </c>
      <c r="Z98" s="14" t="s">
        <v>592</v>
      </c>
      <c r="AA98" s="15">
        <v>0</v>
      </c>
      <c r="AB98" s="14" t="s">
        <v>284</v>
      </c>
      <c r="AC98" s="15">
        <v>0</v>
      </c>
      <c r="AD98" s="14" t="s">
        <v>284</v>
      </c>
      <c r="AE98" s="15">
        <v>0</v>
      </c>
      <c r="AF98" s="14" t="s">
        <v>284</v>
      </c>
      <c r="AG98" s="15">
        <v>0</v>
      </c>
    </row>
    <row r="99" spans="1:33" x14ac:dyDescent="0.2">
      <c r="A99" s="2" t="s">
        <v>3</v>
      </c>
      <c r="B99" s="3" t="s">
        <v>2</v>
      </c>
      <c r="C99" s="2" t="s">
        <v>17</v>
      </c>
      <c r="D99" s="6" t="s">
        <v>217</v>
      </c>
      <c r="E99" s="12" t="s">
        <v>0</v>
      </c>
      <c r="F99" s="14" t="s">
        <v>587</v>
      </c>
      <c r="G99" s="15">
        <v>0</v>
      </c>
      <c r="H99" s="14" t="s">
        <v>284</v>
      </c>
      <c r="I99" s="15">
        <v>0</v>
      </c>
      <c r="J99" s="14" t="s">
        <v>284</v>
      </c>
      <c r="K99" s="15">
        <v>0</v>
      </c>
      <c r="L99" s="14" t="s">
        <v>284</v>
      </c>
      <c r="M99" s="15">
        <v>0</v>
      </c>
      <c r="N99" s="14" t="s">
        <v>588</v>
      </c>
      <c r="O99" s="15">
        <v>0</v>
      </c>
      <c r="P99" s="14">
        <v>393.21</v>
      </c>
      <c r="Q99" s="15">
        <v>0</v>
      </c>
      <c r="R99" s="14">
        <v>19.64</v>
      </c>
      <c r="S99" s="15">
        <v>0</v>
      </c>
      <c r="T99" s="14">
        <v>1.84</v>
      </c>
      <c r="U99" s="15">
        <v>0</v>
      </c>
      <c r="V99" s="14">
        <v>709.28</v>
      </c>
      <c r="W99" s="15">
        <v>0</v>
      </c>
      <c r="X99" s="14" t="s">
        <v>284</v>
      </c>
      <c r="Y99" s="15">
        <v>0</v>
      </c>
      <c r="Z99" s="14" t="s">
        <v>592</v>
      </c>
      <c r="AA99" s="15">
        <v>0</v>
      </c>
      <c r="AB99" s="14" t="s">
        <v>284</v>
      </c>
      <c r="AC99" s="15">
        <v>0</v>
      </c>
      <c r="AD99" s="14" t="s">
        <v>284</v>
      </c>
      <c r="AE99" s="15">
        <v>0</v>
      </c>
      <c r="AF99" s="14" t="s">
        <v>284</v>
      </c>
      <c r="AG99" s="15">
        <v>0</v>
      </c>
    </row>
    <row r="100" spans="1:33" x14ac:dyDescent="0.2">
      <c r="A100" s="2" t="s">
        <v>3</v>
      </c>
      <c r="B100" s="3" t="s">
        <v>2</v>
      </c>
      <c r="C100" s="2" t="s">
        <v>16</v>
      </c>
      <c r="D100" s="6" t="s">
        <v>218</v>
      </c>
      <c r="E100" s="12" t="s">
        <v>0</v>
      </c>
      <c r="F100" s="14" t="s">
        <v>587</v>
      </c>
      <c r="G100" s="15">
        <v>0</v>
      </c>
      <c r="H100" s="14" t="s">
        <v>284</v>
      </c>
      <c r="I100" s="15">
        <v>0</v>
      </c>
      <c r="J100" s="14" t="s">
        <v>284</v>
      </c>
      <c r="K100" s="15">
        <v>0</v>
      </c>
      <c r="L100" s="14" t="s">
        <v>284</v>
      </c>
      <c r="M100" s="15">
        <v>0</v>
      </c>
      <c r="N100" s="14" t="s">
        <v>588</v>
      </c>
      <c r="O100" s="15">
        <v>0</v>
      </c>
      <c r="P100" s="14">
        <v>39.020000000000003</v>
      </c>
      <c r="Q100" s="15">
        <v>0</v>
      </c>
      <c r="R100" s="14">
        <v>6.28</v>
      </c>
      <c r="S100" s="15">
        <v>0</v>
      </c>
      <c r="T100" s="14" t="s">
        <v>591</v>
      </c>
      <c r="U100" s="15">
        <v>0</v>
      </c>
      <c r="V100" s="14">
        <v>585.92999999999995</v>
      </c>
      <c r="W100" s="15">
        <v>0</v>
      </c>
      <c r="X100" s="14" t="s">
        <v>284</v>
      </c>
      <c r="Y100" s="15">
        <v>0</v>
      </c>
      <c r="Z100" s="14" t="s">
        <v>592</v>
      </c>
      <c r="AA100" s="15">
        <v>0</v>
      </c>
      <c r="AB100" s="14" t="s">
        <v>284</v>
      </c>
      <c r="AC100" s="15">
        <v>0</v>
      </c>
      <c r="AD100" s="14" t="s">
        <v>284</v>
      </c>
      <c r="AE100" s="15">
        <v>0</v>
      </c>
      <c r="AF100" s="14" t="s">
        <v>284</v>
      </c>
      <c r="AG100" s="15">
        <v>0</v>
      </c>
    </row>
    <row r="101" spans="1:33" x14ac:dyDescent="0.2">
      <c r="A101" s="2" t="s">
        <v>3</v>
      </c>
      <c r="B101" s="3" t="s">
        <v>2</v>
      </c>
      <c r="C101" s="2" t="s">
        <v>15</v>
      </c>
      <c r="D101" s="6" t="s">
        <v>219</v>
      </c>
      <c r="E101" s="12" t="s">
        <v>0</v>
      </c>
      <c r="F101" s="14" t="s">
        <v>587</v>
      </c>
      <c r="G101" s="15">
        <v>0</v>
      </c>
      <c r="H101" s="14" t="s">
        <v>284</v>
      </c>
      <c r="I101" s="15">
        <v>0</v>
      </c>
      <c r="J101" s="14" t="s">
        <v>284</v>
      </c>
      <c r="K101" s="15">
        <v>0</v>
      </c>
      <c r="L101" s="14" t="s">
        <v>284</v>
      </c>
      <c r="M101" s="15">
        <v>0</v>
      </c>
      <c r="N101" s="14" t="s">
        <v>588</v>
      </c>
      <c r="O101" s="15">
        <v>0</v>
      </c>
      <c r="P101" s="14">
        <v>8.3699999999999992</v>
      </c>
      <c r="Q101" s="15">
        <v>0</v>
      </c>
      <c r="R101" s="14">
        <v>14.37</v>
      </c>
      <c r="S101" s="15">
        <v>0</v>
      </c>
      <c r="T101" s="14" t="s">
        <v>580</v>
      </c>
      <c r="U101" s="15">
        <v>0</v>
      </c>
      <c r="V101" s="14">
        <v>1405.9</v>
      </c>
      <c r="W101" s="15">
        <v>0</v>
      </c>
      <c r="X101" s="14" t="s">
        <v>284</v>
      </c>
      <c r="Y101" s="15">
        <v>0</v>
      </c>
      <c r="Z101" s="14" t="s">
        <v>592</v>
      </c>
      <c r="AA101" s="15">
        <v>0</v>
      </c>
      <c r="AB101" s="14" t="s">
        <v>284</v>
      </c>
      <c r="AC101" s="15">
        <v>0</v>
      </c>
      <c r="AD101" s="14" t="s">
        <v>284</v>
      </c>
      <c r="AE101" s="15">
        <v>0</v>
      </c>
      <c r="AF101" s="14" t="s">
        <v>284</v>
      </c>
      <c r="AG101" s="15">
        <v>0</v>
      </c>
    </row>
    <row r="102" spans="1:33" x14ac:dyDescent="0.2">
      <c r="A102" s="2" t="s">
        <v>3</v>
      </c>
      <c r="B102" s="3" t="s">
        <v>2</v>
      </c>
      <c r="C102" s="2" t="s">
        <v>14</v>
      </c>
      <c r="D102" s="6" t="s">
        <v>220</v>
      </c>
      <c r="E102" s="12" t="s">
        <v>0</v>
      </c>
      <c r="F102" s="14" t="s">
        <v>587</v>
      </c>
      <c r="G102" s="15">
        <v>0</v>
      </c>
      <c r="H102" s="14" t="s">
        <v>284</v>
      </c>
      <c r="I102" s="15">
        <v>0</v>
      </c>
      <c r="J102" s="14" t="s">
        <v>284</v>
      </c>
      <c r="K102" s="15">
        <v>0</v>
      </c>
      <c r="L102" s="14" t="s">
        <v>284</v>
      </c>
      <c r="M102" s="15">
        <v>0</v>
      </c>
      <c r="N102" s="14" t="s">
        <v>588</v>
      </c>
      <c r="O102" s="15">
        <v>0</v>
      </c>
      <c r="P102" s="14">
        <v>27.16</v>
      </c>
      <c r="Q102" s="15">
        <v>0</v>
      </c>
      <c r="R102" s="14" t="s">
        <v>590</v>
      </c>
      <c r="S102" s="15">
        <v>0</v>
      </c>
      <c r="T102" s="14" t="s">
        <v>591</v>
      </c>
      <c r="U102" s="15">
        <v>0</v>
      </c>
      <c r="V102" s="14">
        <v>782.4</v>
      </c>
      <c r="W102" s="15">
        <v>0</v>
      </c>
      <c r="X102" s="14" t="s">
        <v>284</v>
      </c>
      <c r="Y102" s="15">
        <v>0</v>
      </c>
      <c r="Z102" s="14" t="s">
        <v>592</v>
      </c>
      <c r="AA102" s="15">
        <v>0</v>
      </c>
      <c r="AB102" s="14" t="s">
        <v>284</v>
      </c>
      <c r="AC102" s="15">
        <v>0</v>
      </c>
      <c r="AD102" s="14" t="s">
        <v>284</v>
      </c>
      <c r="AE102" s="15">
        <v>0</v>
      </c>
      <c r="AF102" s="14" t="s">
        <v>284</v>
      </c>
      <c r="AG102" s="15">
        <v>0</v>
      </c>
    </row>
    <row r="103" spans="1:33" x14ac:dyDescent="0.2">
      <c r="A103" s="2" t="s">
        <v>3</v>
      </c>
      <c r="B103" s="3" t="s">
        <v>2</v>
      </c>
      <c r="C103" s="2" t="s">
        <v>13</v>
      </c>
      <c r="D103" s="6" t="s">
        <v>221</v>
      </c>
      <c r="E103" s="12" t="s">
        <v>0</v>
      </c>
      <c r="F103" s="14" t="s">
        <v>587</v>
      </c>
      <c r="G103" s="15">
        <v>0</v>
      </c>
      <c r="H103" s="14" t="s">
        <v>284</v>
      </c>
      <c r="I103" s="15">
        <v>0</v>
      </c>
      <c r="J103" s="14" t="s">
        <v>284</v>
      </c>
      <c r="K103" s="15">
        <v>0</v>
      </c>
      <c r="L103" s="14" t="s">
        <v>284</v>
      </c>
      <c r="M103" s="15">
        <v>0</v>
      </c>
      <c r="N103" s="14" t="s">
        <v>588</v>
      </c>
      <c r="O103" s="15">
        <v>0</v>
      </c>
      <c r="P103" s="14">
        <v>51.06</v>
      </c>
      <c r="Q103" s="15">
        <v>0</v>
      </c>
      <c r="R103" s="14">
        <v>55.41</v>
      </c>
      <c r="S103" s="15">
        <v>0</v>
      </c>
      <c r="T103" s="14" t="s">
        <v>591</v>
      </c>
      <c r="U103" s="15">
        <v>0</v>
      </c>
      <c r="V103" s="14">
        <v>625.58000000000004</v>
      </c>
      <c r="W103" s="15">
        <v>0</v>
      </c>
      <c r="X103" s="14" t="s">
        <v>284</v>
      </c>
      <c r="Y103" s="15">
        <v>0</v>
      </c>
      <c r="Z103" s="14" t="s">
        <v>592</v>
      </c>
      <c r="AA103" s="15">
        <v>0</v>
      </c>
      <c r="AB103" s="14" t="s">
        <v>284</v>
      </c>
      <c r="AC103" s="15">
        <v>0</v>
      </c>
      <c r="AD103" s="14" t="s">
        <v>284</v>
      </c>
      <c r="AE103" s="15">
        <v>0</v>
      </c>
      <c r="AF103" s="14" t="s">
        <v>284</v>
      </c>
      <c r="AG103" s="15">
        <v>0</v>
      </c>
    </row>
    <row r="104" spans="1:33" x14ac:dyDescent="0.2">
      <c r="A104" s="2" t="s">
        <v>3</v>
      </c>
      <c r="B104" s="3" t="s">
        <v>2</v>
      </c>
      <c r="C104" s="2" t="s">
        <v>12</v>
      </c>
      <c r="D104" s="6" t="s">
        <v>222</v>
      </c>
      <c r="E104" s="12" t="s">
        <v>0</v>
      </c>
      <c r="F104" s="14" t="s">
        <v>587</v>
      </c>
      <c r="G104" s="15">
        <v>0</v>
      </c>
      <c r="H104" s="14" t="s">
        <v>284</v>
      </c>
      <c r="I104" s="15">
        <v>0</v>
      </c>
      <c r="J104" s="14" t="s">
        <v>284</v>
      </c>
      <c r="K104" s="15">
        <v>0</v>
      </c>
      <c r="L104" s="14" t="s">
        <v>284</v>
      </c>
      <c r="M104" s="15">
        <v>0</v>
      </c>
      <c r="N104" s="14" t="s">
        <v>588</v>
      </c>
      <c r="O104" s="15">
        <v>0</v>
      </c>
      <c r="P104" s="14">
        <v>296.05</v>
      </c>
      <c r="Q104" s="15">
        <v>0</v>
      </c>
      <c r="R104" s="14">
        <v>103.24</v>
      </c>
      <c r="S104" s="15">
        <v>0</v>
      </c>
      <c r="T104" s="14">
        <v>35.65</v>
      </c>
      <c r="U104" s="15">
        <v>0</v>
      </c>
      <c r="V104" s="14">
        <v>415.35</v>
      </c>
      <c r="W104" s="15">
        <v>0</v>
      </c>
      <c r="X104" s="14" t="s">
        <v>284</v>
      </c>
      <c r="Y104" s="15">
        <v>0</v>
      </c>
      <c r="Z104" s="14" t="s">
        <v>592</v>
      </c>
      <c r="AA104" s="15">
        <v>0</v>
      </c>
      <c r="AB104" s="14" t="s">
        <v>284</v>
      </c>
      <c r="AC104" s="15">
        <v>0</v>
      </c>
      <c r="AD104" s="14" t="s">
        <v>284</v>
      </c>
      <c r="AE104" s="15">
        <v>0</v>
      </c>
      <c r="AF104" s="14" t="s">
        <v>284</v>
      </c>
      <c r="AG104" s="15">
        <v>0</v>
      </c>
    </row>
    <row r="105" spans="1:33" x14ac:dyDescent="0.2">
      <c r="A105" s="2" t="s">
        <v>3</v>
      </c>
      <c r="B105" s="3" t="s">
        <v>2</v>
      </c>
      <c r="C105" s="2" t="s">
        <v>11</v>
      </c>
      <c r="D105" s="6" t="s">
        <v>223</v>
      </c>
      <c r="E105" s="12" t="s">
        <v>0</v>
      </c>
      <c r="F105" s="14" t="s">
        <v>587</v>
      </c>
      <c r="G105" s="15">
        <v>0</v>
      </c>
      <c r="H105" s="14" t="s">
        <v>284</v>
      </c>
      <c r="I105" s="15">
        <v>0</v>
      </c>
      <c r="J105" s="14" t="s">
        <v>284</v>
      </c>
      <c r="K105" s="15">
        <v>0</v>
      </c>
      <c r="L105" s="14" t="s">
        <v>284</v>
      </c>
      <c r="M105" s="15">
        <v>0</v>
      </c>
      <c r="N105" s="14" t="s">
        <v>588</v>
      </c>
      <c r="O105" s="15">
        <v>0</v>
      </c>
      <c r="P105" s="14">
        <v>53.83</v>
      </c>
      <c r="Q105" s="15">
        <v>0</v>
      </c>
      <c r="R105" s="14">
        <v>4.28</v>
      </c>
      <c r="S105" s="15">
        <v>0</v>
      </c>
      <c r="T105" s="14" t="s">
        <v>591</v>
      </c>
      <c r="U105" s="15">
        <v>0</v>
      </c>
      <c r="V105" s="14">
        <v>341.31</v>
      </c>
      <c r="W105" s="15">
        <v>0</v>
      </c>
      <c r="X105" s="14" t="s">
        <v>284</v>
      </c>
      <c r="Y105" s="15">
        <v>0</v>
      </c>
      <c r="Z105" s="14" t="s">
        <v>592</v>
      </c>
      <c r="AA105" s="15">
        <v>0</v>
      </c>
      <c r="AB105" s="14" t="s">
        <v>284</v>
      </c>
      <c r="AC105" s="15">
        <v>0</v>
      </c>
      <c r="AD105" s="14" t="s">
        <v>284</v>
      </c>
      <c r="AE105" s="15">
        <v>0</v>
      </c>
      <c r="AF105" s="14" t="s">
        <v>284</v>
      </c>
      <c r="AG105" s="15">
        <v>0</v>
      </c>
    </row>
    <row r="106" spans="1:33" x14ac:dyDescent="0.2">
      <c r="A106" s="2" t="s">
        <v>3</v>
      </c>
      <c r="B106" s="3" t="s">
        <v>2</v>
      </c>
      <c r="C106" s="2" t="s">
        <v>10</v>
      </c>
      <c r="D106" s="6" t="s">
        <v>224</v>
      </c>
      <c r="E106" s="12" t="s">
        <v>0</v>
      </c>
      <c r="F106" s="14" t="s">
        <v>587</v>
      </c>
      <c r="G106" s="15">
        <v>0</v>
      </c>
      <c r="H106" s="14" t="s">
        <v>284</v>
      </c>
      <c r="I106" s="15">
        <v>0</v>
      </c>
      <c r="J106" s="14" t="s">
        <v>284</v>
      </c>
      <c r="K106" s="15">
        <v>0</v>
      </c>
      <c r="L106" s="14" t="s">
        <v>284</v>
      </c>
      <c r="M106" s="15">
        <v>0</v>
      </c>
      <c r="N106" s="14" t="s">
        <v>588</v>
      </c>
      <c r="O106" s="15">
        <v>0</v>
      </c>
      <c r="P106" s="23">
        <v>12.76</v>
      </c>
      <c r="Q106" s="24">
        <v>67.83</v>
      </c>
      <c r="R106" s="14" t="s">
        <v>581</v>
      </c>
      <c r="S106" s="15">
        <v>0</v>
      </c>
      <c r="T106" s="14" t="s">
        <v>591</v>
      </c>
      <c r="U106" s="15">
        <v>0</v>
      </c>
      <c r="V106" s="14">
        <v>305.97000000000003</v>
      </c>
      <c r="W106" s="15">
        <v>16.39</v>
      </c>
      <c r="X106" s="14" t="s">
        <v>284</v>
      </c>
      <c r="Y106" s="15">
        <v>0</v>
      </c>
      <c r="Z106" s="14" t="s">
        <v>592</v>
      </c>
      <c r="AA106" s="15">
        <v>0</v>
      </c>
      <c r="AB106" s="14" t="s">
        <v>284</v>
      </c>
      <c r="AC106" s="15">
        <v>0</v>
      </c>
      <c r="AD106" s="14" t="s">
        <v>284</v>
      </c>
      <c r="AE106" s="15">
        <v>0</v>
      </c>
      <c r="AF106" s="14" t="s">
        <v>284</v>
      </c>
      <c r="AG106" s="15">
        <v>0</v>
      </c>
    </row>
    <row r="107" spans="1:33" x14ac:dyDescent="0.2">
      <c r="A107" s="2" t="s">
        <v>3</v>
      </c>
      <c r="B107" s="3" t="s">
        <v>2</v>
      </c>
      <c r="C107" s="2" t="s">
        <v>9</v>
      </c>
      <c r="D107" s="6" t="s">
        <v>225</v>
      </c>
      <c r="E107" s="12" t="s">
        <v>0</v>
      </c>
      <c r="F107" s="14" t="s">
        <v>587</v>
      </c>
      <c r="G107" s="15">
        <v>0</v>
      </c>
      <c r="H107" s="14" t="s">
        <v>284</v>
      </c>
      <c r="I107" s="15">
        <v>0</v>
      </c>
      <c r="J107" s="14" t="s">
        <v>284</v>
      </c>
      <c r="K107" s="15">
        <v>0</v>
      </c>
      <c r="L107" s="14" t="s">
        <v>284</v>
      </c>
      <c r="M107" s="15">
        <v>0</v>
      </c>
      <c r="N107" s="14" t="s">
        <v>588</v>
      </c>
      <c r="O107" s="15">
        <v>0</v>
      </c>
      <c r="P107" s="14">
        <v>377.93</v>
      </c>
      <c r="Q107" s="15">
        <v>1.78</v>
      </c>
      <c r="R107" s="14">
        <v>244.7</v>
      </c>
      <c r="S107" s="15">
        <v>8.51</v>
      </c>
      <c r="T107" s="14">
        <v>27.02</v>
      </c>
      <c r="U107" s="15">
        <v>8.93</v>
      </c>
      <c r="V107" s="14">
        <v>604.32000000000005</v>
      </c>
      <c r="W107" s="15">
        <v>15.57</v>
      </c>
      <c r="X107" s="14" t="s">
        <v>284</v>
      </c>
      <c r="Y107" s="15">
        <v>0</v>
      </c>
      <c r="Z107" s="14" t="s">
        <v>592</v>
      </c>
      <c r="AA107" s="15">
        <v>0</v>
      </c>
      <c r="AB107" s="14" t="s">
        <v>284</v>
      </c>
      <c r="AC107" s="15">
        <v>0</v>
      </c>
      <c r="AD107" s="14" t="s">
        <v>284</v>
      </c>
      <c r="AE107" s="15">
        <v>0</v>
      </c>
      <c r="AF107" s="14" t="s">
        <v>284</v>
      </c>
      <c r="AG107" s="15">
        <v>0</v>
      </c>
    </row>
    <row r="108" spans="1:33" x14ac:dyDescent="0.2">
      <c r="A108" s="2" t="s">
        <v>3</v>
      </c>
      <c r="B108" s="3" t="s">
        <v>2</v>
      </c>
      <c r="C108" s="2" t="s">
        <v>8</v>
      </c>
      <c r="D108" s="6" t="s">
        <v>226</v>
      </c>
      <c r="E108" s="12" t="s">
        <v>0</v>
      </c>
      <c r="F108" s="14" t="s">
        <v>587</v>
      </c>
      <c r="G108" s="15">
        <v>0</v>
      </c>
      <c r="H108" s="14" t="s">
        <v>284</v>
      </c>
      <c r="I108" s="15">
        <v>0</v>
      </c>
      <c r="J108" s="14" t="s">
        <v>284</v>
      </c>
      <c r="K108" s="15">
        <v>0</v>
      </c>
      <c r="L108" s="14" t="s">
        <v>284</v>
      </c>
      <c r="M108" s="15">
        <v>0</v>
      </c>
      <c r="N108" s="14" t="s">
        <v>588</v>
      </c>
      <c r="O108" s="15">
        <v>0</v>
      </c>
      <c r="P108" s="23">
        <v>42.97</v>
      </c>
      <c r="Q108" s="24">
        <v>29.45</v>
      </c>
      <c r="R108" s="14">
        <v>24.07</v>
      </c>
      <c r="S108" s="15">
        <v>9.41</v>
      </c>
      <c r="T108" s="14">
        <v>21.48</v>
      </c>
      <c r="U108" s="15">
        <v>13.24</v>
      </c>
      <c r="V108" s="14">
        <v>644.04999999999995</v>
      </c>
      <c r="W108" s="15">
        <v>14.05</v>
      </c>
      <c r="X108" s="14" t="s">
        <v>284</v>
      </c>
      <c r="Y108" s="15">
        <v>0</v>
      </c>
      <c r="Z108" s="14" t="s">
        <v>592</v>
      </c>
      <c r="AA108" s="15">
        <v>0</v>
      </c>
      <c r="AB108" s="14" t="s">
        <v>284</v>
      </c>
      <c r="AC108" s="15">
        <v>0</v>
      </c>
      <c r="AD108" s="14" t="s">
        <v>284</v>
      </c>
      <c r="AE108" s="15">
        <v>0</v>
      </c>
      <c r="AF108" s="14" t="s">
        <v>284</v>
      </c>
      <c r="AG108" s="15">
        <v>0</v>
      </c>
    </row>
    <row r="109" spans="1:33" x14ac:dyDescent="0.2">
      <c r="A109" s="2" t="s">
        <v>3</v>
      </c>
      <c r="B109" s="3" t="s">
        <v>2</v>
      </c>
      <c r="C109" s="2" t="s">
        <v>7</v>
      </c>
      <c r="D109" s="6" t="s">
        <v>227</v>
      </c>
      <c r="E109" s="12" t="s">
        <v>0</v>
      </c>
      <c r="F109" s="14" t="s">
        <v>587</v>
      </c>
      <c r="G109" s="15">
        <v>0</v>
      </c>
      <c r="H109" s="14" t="s">
        <v>284</v>
      </c>
      <c r="I109" s="15">
        <v>0</v>
      </c>
      <c r="J109" s="14" t="s">
        <v>284</v>
      </c>
      <c r="K109" s="15">
        <v>0</v>
      </c>
      <c r="L109" s="14" t="s">
        <v>284</v>
      </c>
      <c r="M109" s="15">
        <v>0</v>
      </c>
      <c r="N109" s="14" t="s">
        <v>588</v>
      </c>
      <c r="O109" s="15">
        <v>0</v>
      </c>
      <c r="P109" s="14">
        <v>189.85</v>
      </c>
      <c r="Q109" s="15">
        <v>7.07</v>
      </c>
      <c r="R109" s="14">
        <v>13.37</v>
      </c>
      <c r="S109" s="15">
        <v>18.38</v>
      </c>
      <c r="T109" s="23">
        <v>3.88</v>
      </c>
      <c r="U109" s="24">
        <v>31.31</v>
      </c>
      <c r="V109" s="14">
        <v>541.73</v>
      </c>
      <c r="W109" s="15">
        <v>1.72</v>
      </c>
      <c r="X109" s="14" t="s">
        <v>284</v>
      </c>
      <c r="Y109" s="15">
        <v>0</v>
      </c>
      <c r="Z109" s="14" t="s">
        <v>592</v>
      </c>
      <c r="AA109" s="15">
        <v>0</v>
      </c>
      <c r="AB109" s="14" t="s">
        <v>284</v>
      </c>
      <c r="AC109" s="15">
        <v>0</v>
      </c>
      <c r="AD109" s="14" t="s">
        <v>284</v>
      </c>
      <c r="AE109" s="15">
        <v>0</v>
      </c>
      <c r="AF109" s="14" t="s">
        <v>284</v>
      </c>
      <c r="AG109" s="15">
        <v>0</v>
      </c>
    </row>
    <row r="110" spans="1:33" x14ac:dyDescent="0.2">
      <c r="A110" s="2" t="s">
        <v>3</v>
      </c>
      <c r="B110" s="3" t="s">
        <v>2</v>
      </c>
      <c r="C110" s="2" t="s">
        <v>6</v>
      </c>
      <c r="D110" s="6" t="s">
        <v>228</v>
      </c>
      <c r="E110" s="12" t="s">
        <v>0</v>
      </c>
      <c r="F110" s="14" t="s">
        <v>587</v>
      </c>
      <c r="G110" s="15">
        <v>0</v>
      </c>
      <c r="H110" s="14" t="s">
        <v>284</v>
      </c>
      <c r="I110" s="15">
        <v>0</v>
      </c>
      <c r="J110" s="14" t="s">
        <v>284</v>
      </c>
      <c r="K110" s="15">
        <v>0</v>
      </c>
      <c r="L110" s="14" t="s">
        <v>284</v>
      </c>
      <c r="M110" s="15">
        <v>0</v>
      </c>
      <c r="N110" s="14" t="s">
        <v>588</v>
      </c>
      <c r="O110" s="15">
        <v>0</v>
      </c>
      <c r="P110" s="23" t="s">
        <v>582</v>
      </c>
      <c r="Q110" s="24">
        <v>137.51</v>
      </c>
      <c r="R110" s="14" t="s">
        <v>590</v>
      </c>
      <c r="S110" s="15">
        <v>0</v>
      </c>
      <c r="T110" s="14" t="s">
        <v>591</v>
      </c>
      <c r="U110" s="15">
        <v>0</v>
      </c>
      <c r="V110" s="14">
        <v>247.04</v>
      </c>
      <c r="W110" s="15">
        <v>4.66</v>
      </c>
      <c r="X110" s="14" t="s">
        <v>284</v>
      </c>
      <c r="Y110" s="15">
        <v>0</v>
      </c>
      <c r="Z110" s="14" t="s">
        <v>592</v>
      </c>
      <c r="AA110" s="15">
        <v>0</v>
      </c>
      <c r="AB110" s="14" t="s">
        <v>284</v>
      </c>
      <c r="AC110" s="15">
        <v>0</v>
      </c>
      <c r="AD110" s="14" t="s">
        <v>284</v>
      </c>
      <c r="AE110" s="15">
        <v>0</v>
      </c>
      <c r="AF110" s="14" t="s">
        <v>284</v>
      </c>
      <c r="AG110" s="15">
        <v>0</v>
      </c>
    </row>
    <row r="111" spans="1:33" x14ac:dyDescent="0.2">
      <c r="A111" s="2" t="s">
        <v>3</v>
      </c>
      <c r="B111" s="3" t="s">
        <v>2</v>
      </c>
      <c r="C111" s="2" t="s">
        <v>5</v>
      </c>
      <c r="D111" s="6" t="s">
        <v>229</v>
      </c>
      <c r="E111" s="12" t="s">
        <v>0</v>
      </c>
      <c r="F111" s="14" t="s">
        <v>587</v>
      </c>
      <c r="G111" s="15">
        <v>0</v>
      </c>
      <c r="H111" s="14" t="s">
        <v>284</v>
      </c>
      <c r="I111" s="15">
        <v>0</v>
      </c>
      <c r="J111" s="14" t="s">
        <v>284</v>
      </c>
      <c r="K111" s="15">
        <v>0</v>
      </c>
      <c r="L111" s="14" t="s">
        <v>284</v>
      </c>
      <c r="M111" s="15">
        <v>0</v>
      </c>
      <c r="N111" s="14" t="s">
        <v>588</v>
      </c>
      <c r="O111" s="15">
        <v>0</v>
      </c>
      <c r="P111" s="14" t="s">
        <v>589</v>
      </c>
      <c r="Q111" s="15">
        <v>0</v>
      </c>
      <c r="R111" s="14" t="s">
        <v>590</v>
      </c>
      <c r="S111" s="15">
        <v>0</v>
      </c>
      <c r="T111" s="14" t="s">
        <v>591</v>
      </c>
      <c r="U111" s="15">
        <v>0</v>
      </c>
      <c r="V111" s="14">
        <v>776.11</v>
      </c>
      <c r="W111" s="15">
        <v>8.89</v>
      </c>
      <c r="X111" s="14" t="s">
        <v>284</v>
      </c>
      <c r="Y111" s="15">
        <v>0</v>
      </c>
      <c r="Z111" s="14" t="s">
        <v>592</v>
      </c>
      <c r="AA111" s="15">
        <v>0</v>
      </c>
      <c r="AB111" s="14" t="s">
        <v>284</v>
      </c>
      <c r="AC111" s="15">
        <v>0</v>
      </c>
      <c r="AD111" s="14" t="s">
        <v>284</v>
      </c>
      <c r="AE111" s="15">
        <v>0</v>
      </c>
      <c r="AF111" s="14" t="s">
        <v>284</v>
      </c>
      <c r="AG111" s="15">
        <v>0</v>
      </c>
    </row>
    <row r="112" spans="1:33" x14ac:dyDescent="0.2">
      <c r="A112" s="2" t="s">
        <v>3</v>
      </c>
      <c r="B112" s="3" t="s">
        <v>2</v>
      </c>
      <c r="C112" s="2" t="s">
        <v>4</v>
      </c>
      <c r="D112" s="6" t="s">
        <v>230</v>
      </c>
      <c r="E112" s="12" t="s">
        <v>0</v>
      </c>
      <c r="F112" s="14" t="s">
        <v>587</v>
      </c>
      <c r="G112" s="15">
        <v>0</v>
      </c>
      <c r="H112" s="14" t="s">
        <v>284</v>
      </c>
      <c r="I112" s="15">
        <v>0</v>
      </c>
      <c r="J112" s="14" t="s">
        <v>284</v>
      </c>
      <c r="K112" s="15">
        <v>0</v>
      </c>
      <c r="L112" s="14" t="s">
        <v>284</v>
      </c>
      <c r="M112" s="15">
        <v>0</v>
      </c>
      <c r="N112" s="14" t="s">
        <v>588</v>
      </c>
      <c r="O112" s="15">
        <v>0</v>
      </c>
      <c r="P112" s="14" t="s">
        <v>583</v>
      </c>
      <c r="Q112" s="15">
        <v>0</v>
      </c>
      <c r="R112" s="14" t="s">
        <v>590</v>
      </c>
      <c r="S112" s="15">
        <v>0</v>
      </c>
      <c r="T112" s="23">
        <v>10.6</v>
      </c>
      <c r="U112" s="24">
        <v>20.36</v>
      </c>
      <c r="V112" s="14">
        <v>279.93</v>
      </c>
      <c r="W112" s="15">
        <v>17.29</v>
      </c>
      <c r="X112" s="14" t="s">
        <v>284</v>
      </c>
      <c r="Y112" s="15">
        <v>0</v>
      </c>
      <c r="Z112" s="14" t="s">
        <v>592</v>
      </c>
      <c r="AA112" s="15">
        <v>0</v>
      </c>
      <c r="AB112" s="14" t="s">
        <v>284</v>
      </c>
      <c r="AC112" s="15">
        <v>0</v>
      </c>
      <c r="AD112" s="14" t="s">
        <v>284</v>
      </c>
      <c r="AE112" s="15">
        <v>0</v>
      </c>
      <c r="AF112" s="14" t="s">
        <v>284</v>
      </c>
      <c r="AG112" s="15">
        <v>0</v>
      </c>
    </row>
    <row r="113" spans="1:33" x14ac:dyDescent="0.2">
      <c r="A113" s="2" t="s">
        <v>3</v>
      </c>
      <c r="B113" s="3" t="s">
        <v>2</v>
      </c>
      <c r="C113" s="2" t="s">
        <v>1</v>
      </c>
      <c r="D113" s="6" t="s">
        <v>231</v>
      </c>
      <c r="E113" s="12" t="s">
        <v>0</v>
      </c>
      <c r="F113" s="14" t="s">
        <v>587</v>
      </c>
      <c r="G113" s="15">
        <v>0</v>
      </c>
      <c r="H113" s="14" t="s">
        <v>284</v>
      </c>
      <c r="I113" s="15">
        <v>0</v>
      </c>
      <c r="J113" s="14" t="s">
        <v>284</v>
      </c>
      <c r="K113" s="15">
        <v>0</v>
      </c>
      <c r="L113" s="14" t="s">
        <v>284</v>
      </c>
      <c r="M113" s="15">
        <v>0</v>
      </c>
      <c r="N113" s="14" t="s">
        <v>588</v>
      </c>
      <c r="O113" s="15">
        <v>0</v>
      </c>
      <c r="P113" s="23">
        <v>26.4</v>
      </c>
      <c r="Q113" s="24">
        <v>49.88</v>
      </c>
      <c r="R113" s="14" t="s">
        <v>577</v>
      </c>
      <c r="S113" s="15">
        <v>0</v>
      </c>
      <c r="T113" s="14" t="s">
        <v>591</v>
      </c>
      <c r="U113" s="15">
        <v>0</v>
      </c>
      <c r="V113" s="23">
        <v>237.93</v>
      </c>
      <c r="W113" s="24">
        <v>25.17</v>
      </c>
      <c r="X113" s="14" t="s">
        <v>284</v>
      </c>
      <c r="Y113" s="15">
        <v>0</v>
      </c>
      <c r="Z113" s="14" t="s">
        <v>592</v>
      </c>
      <c r="AA113" s="15">
        <v>0</v>
      </c>
      <c r="AB113" s="14" t="s">
        <v>284</v>
      </c>
      <c r="AC113" s="15">
        <v>0</v>
      </c>
      <c r="AD113" s="14" t="s">
        <v>284</v>
      </c>
      <c r="AE113" s="15">
        <v>0</v>
      </c>
      <c r="AF113" s="14" t="s">
        <v>284</v>
      </c>
      <c r="AG113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Results-VlookUp</vt:lpstr>
      <vt:lpstr>calculs OOR</vt:lpstr>
      <vt:lpstr>Obs Conc_1</vt:lpstr>
      <vt:lpstr>Obs Conc %CV_1</vt:lpstr>
      <vt:lpstr>Obs Conc_2</vt:lpstr>
      <vt:lpstr>Obs Conc %CV_2</vt:lpstr>
      <vt:lpstr>Final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malha.sadoune@outlook.fr</dc:creator>
  <cp:lastModifiedBy>malha.sadoune@outlook.fr</cp:lastModifiedBy>
  <dcterms:created xsi:type="dcterms:W3CDTF">2025-04-02T15:38:20Z</dcterms:created>
  <dcterms:modified xsi:type="dcterms:W3CDTF">2025-05-20T10:09:31Z</dcterms:modified>
</cp:coreProperties>
</file>