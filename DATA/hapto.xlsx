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7"/>
  <workbookPr/>
  <mc:AlternateContent xmlns:mc="http://schemas.openxmlformats.org/markup-compatibility/2006">
    <mc:Choice Requires="x15">
      <x15ac:absPath xmlns:x15ac="http://schemas.microsoft.com/office/spreadsheetml/2010/11/ac" url="/Users/kimmoun/Library/CloudStorage/Dropbox/Travail/Année 2024-2025/ADRECMO/DATA/"/>
    </mc:Choice>
  </mc:AlternateContent>
  <xr:revisionPtr revIDLastSave="0" documentId="13_ncr:1_{49C472F7-737E-7A4D-98D2-EF42B6E6C061}" xr6:coauthVersionLast="47" xr6:coauthVersionMax="47" xr10:uidLastSave="{00000000-0000-0000-0000-000000000000}"/>
  <bookViews>
    <workbookView xWindow="0" yWindow="760" windowWidth="19440" windowHeight="15600" activeTab="2" xr2:uid="{00000000-000D-0000-FFFF-FFFF00000000}"/>
  </bookViews>
  <sheets>
    <sheet name="components" sheetId="6" r:id="rId1"/>
    <sheet name="process slip" sheetId="5" r:id="rId2"/>
    <sheet name="ADRECMO " sheetId="3" r:id="rId3"/>
    <sheet name="QC Hapt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4" l="1"/>
  <c r="C26" i="4"/>
  <c r="C25" i="4"/>
  <c r="B27" i="4"/>
  <c r="B26" i="4"/>
  <c r="B25" i="4"/>
  <c r="C29" i="4"/>
  <c r="D29" i="4" s="1"/>
  <c r="B29" i="4"/>
  <c r="F29" i="4" s="1"/>
  <c r="C28" i="4"/>
  <c r="D28" i="4" s="1"/>
  <c r="B28" i="4"/>
  <c r="F28" i="4" s="1"/>
  <c r="D27" i="4" l="1"/>
  <c r="F26" i="4"/>
  <c r="F25" i="4"/>
  <c r="E26" i="4"/>
  <c r="D26" i="4"/>
  <c r="D25" i="4"/>
  <c r="F27" i="4"/>
  <c r="E28" i="4"/>
  <c r="E27" i="4"/>
  <c r="E25" i="4"/>
  <c r="E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johanna.bogusch</author>
    <author>igruenac</author>
  </authors>
  <commentList>
    <comment ref="A1" authorId="0" shapeId="0" xr:uid="{00000000-0006-0000-0100-000001000000}">
      <text>
        <r>
          <rPr>
            <sz val="9"/>
            <color indexed="81"/>
            <rFont val="Arial"/>
            <family val="2"/>
          </rPr>
          <t>Datum des Ansatzes</t>
        </r>
        <r>
          <rPr>
            <sz val="9"/>
            <color indexed="81"/>
            <rFont val="Tahoma"/>
            <family val="2"/>
          </rPr>
          <t xml:space="preserve">
</t>
        </r>
      </text>
    </comment>
    <comment ref="B1" authorId="0" shapeId="0" xr:uid="{00000000-0006-0000-0100-000002000000}">
      <text>
        <r>
          <rPr>
            <sz val="9"/>
            <color indexed="81"/>
            <rFont val="Arial"/>
            <family val="2"/>
          </rPr>
          <t>vermessener Marker mit Angabe des verwendeten Testsystems z.B. MS, LIA, Luminex, KRYPTOR)
 Handelt es sich nicht um einzelne Marker, kann auch eine Projektbezeichnung  eingetragen werden.</t>
        </r>
        <r>
          <rPr>
            <b/>
            <sz val="9"/>
            <color indexed="81"/>
            <rFont val="Tahoma"/>
            <family val="2"/>
          </rPr>
          <t xml:space="preserve">
</t>
        </r>
        <r>
          <rPr>
            <sz val="9"/>
            <color indexed="81"/>
            <rFont val="Tahoma"/>
            <family val="2"/>
          </rPr>
          <t xml:space="preserve">
</t>
        </r>
      </text>
    </comment>
    <comment ref="C1" authorId="0" shapeId="0" xr:uid="{00000000-0006-0000-0100-000003000000}">
      <text>
        <r>
          <rPr>
            <sz val="9"/>
            <color indexed="81"/>
            <rFont val="Arial"/>
            <family val="2"/>
          </rPr>
          <t>Name (Kürzel) der durchführenden Person</t>
        </r>
        <r>
          <rPr>
            <sz val="9"/>
            <color indexed="81"/>
            <rFont val="Tahoma"/>
            <family val="2"/>
          </rPr>
          <t xml:space="preserve">
</t>
        </r>
      </text>
    </comment>
    <comment ref="E1" authorId="0" shapeId="0" xr:uid="{00000000-0006-0000-0100-000004000000}">
      <text>
        <r>
          <rPr>
            <sz val="9"/>
            <color indexed="81"/>
            <rFont val="Arial"/>
            <family val="2"/>
          </rPr>
          <t>wie oft wurden die Proben bei aktueller Vermessung aufgetaut.  Der Auftauzyklus wird nicht mit früheren Meltzyklen addiert. Nachmessungen an anderen Tagen werden separat gelistet. Auch hier wird nur der Auftauzyklus für diese Vermessung  aufgeführt</t>
        </r>
        <r>
          <rPr>
            <b/>
            <sz val="9"/>
            <color indexed="81"/>
            <rFont val="Tahoma"/>
            <family val="2"/>
          </rPr>
          <t>.</t>
        </r>
        <r>
          <rPr>
            <sz val="9"/>
            <color indexed="81"/>
            <rFont val="Tahoma"/>
            <family val="2"/>
          </rPr>
          <t xml:space="preserve">
</t>
        </r>
      </text>
    </comment>
    <comment ref="F1" authorId="0" shapeId="0" xr:uid="{00000000-0006-0000-0100-000005000000}">
      <text>
        <r>
          <rPr>
            <sz val="9"/>
            <color indexed="81"/>
            <rFont val="Arial"/>
            <family val="2"/>
          </rPr>
          <t>aufgerundete Stundenangabe der Standzeit der aufgetauten Probe bei aktueller Vermessung</t>
        </r>
        <r>
          <rPr>
            <sz val="9"/>
            <color indexed="81"/>
            <rFont val="Tahoma"/>
            <family val="2"/>
          </rPr>
          <t xml:space="preserve">
</t>
        </r>
      </text>
    </comment>
    <comment ref="G1" authorId="0" shapeId="0" xr:uid="{00000000-0006-0000-0100-000006000000}">
      <text>
        <r>
          <rPr>
            <sz val="9"/>
            <color indexed="81"/>
            <rFont val="Arial"/>
            <family val="2"/>
          </rPr>
          <t>Volumenentnahme Anmerkung: Verbrauchte Proben werden entsorgt und in der Messliste, Spalte „Volumen“ bei den entsprechenden Proben „0“ eingetragen.</t>
        </r>
        <r>
          <rPr>
            <sz val="9"/>
            <color indexed="81"/>
            <rFont val="Tahoma"/>
            <family val="2"/>
          </rPr>
          <t xml:space="preserve">
</t>
        </r>
      </text>
    </comment>
    <comment ref="H1" authorId="0" shapeId="0" xr:uid="{00000000-0006-0000-0100-000007000000}">
      <text>
        <r>
          <rPr>
            <sz val="9"/>
            <color indexed="81"/>
            <rFont val="Arial"/>
            <family val="2"/>
          </rPr>
          <t xml:space="preserve">Es gibt Studien in mehreren Matrices, daher bitte verwendete Matrix als „ed“  (EDTA-Plasma), „se“ (Serum), „ci“ (Citrat-Plasma) oder „he“ (Heparin-Plasma) eintragen. </t>
        </r>
        <r>
          <rPr>
            <sz val="9"/>
            <color indexed="81"/>
            <rFont val="Tahoma"/>
            <family val="2"/>
          </rPr>
          <t xml:space="preserve">
</t>
        </r>
      </text>
    </comment>
    <comment ref="I1" authorId="1" shapeId="0" xr:uid="{00000000-0006-0000-0100-000008000000}">
      <text>
        <r>
          <rPr>
            <sz val="9"/>
            <color indexed="81"/>
            <rFont val="Arial"/>
            <family val="2"/>
          </rPr>
          <t xml:space="preserve"> study no chronologically or complete measured</t>
        </r>
      </text>
    </comment>
  </commentList>
</comments>
</file>

<file path=xl/sharedStrings.xml><?xml version="1.0" encoding="utf-8"?>
<sst xmlns="http://schemas.openxmlformats.org/spreadsheetml/2006/main" count="618" uniqueCount="202">
  <si>
    <t>ADRECMO</t>
  </si>
  <si>
    <t>ADRECMO-01_SR_J0</t>
  </si>
  <si>
    <t>ADRECMO-01_SR_J3-J5</t>
  </si>
  <si>
    <t>ADRECMO-01_SR_JS</t>
  </si>
  <si>
    <t>ADRECMO-02_SR_J0</t>
  </si>
  <si>
    <t>ADRECMO-02_SR_J3-J5</t>
  </si>
  <si>
    <t>ADRECMO-02_SR_JS</t>
  </si>
  <si>
    <t>ADRECMO-03_SR_J0</t>
  </si>
  <si>
    <t>ADRECMO-03_SR_J3</t>
  </si>
  <si>
    <t>ADRECMO-03_SR_JS</t>
  </si>
  <si>
    <t>ADRECMO-04_SR_J0</t>
  </si>
  <si>
    <t>ADRECMO-04_SR_J3</t>
  </si>
  <si>
    <t>ADRECMO-04_SR_JS</t>
  </si>
  <si>
    <t>ADRECMO-05_SR_J0</t>
  </si>
  <si>
    <t>ADRECMO-05_SR_J3</t>
  </si>
  <si>
    <t>ADRECMO-06_SR_J0</t>
  </si>
  <si>
    <t>ADRECMO-06_SR_J3</t>
  </si>
  <si>
    <t>ADRECMO-06_SR_JS</t>
  </si>
  <si>
    <t>ADRECMO-07_SR_J0</t>
  </si>
  <si>
    <t>ADRECMO-07_SR_J3</t>
  </si>
  <si>
    <t>ADRECMO-07_SR_JS</t>
  </si>
  <si>
    <t>ADRECMO-08_SR_J0</t>
  </si>
  <si>
    <t>ADRECMO-08_SR_J3</t>
  </si>
  <si>
    <t>ADRECMO-08_SR_JS</t>
  </si>
  <si>
    <t>ADRECMO-09_SR_J0</t>
  </si>
  <si>
    <t>ADRECMO-09_SR_J3</t>
  </si>
  <si>
    <t>ADRECMO-10_SR_J0</t>
  </si>
  <si>
    <t>ADRECMO-10_SR_JS</t>
  </si>
  <si>
    <t>ADRECMO-11_SR_J0</t>
  </si>
  <si>
    <t>ADRECMO-11_SR_J3-J5</t>
  </si>
  <si>
    <t>ADRECMO-11_SR_JS</t>
  </si>
  <si>
    <t>ADRECMO-13_SR_J0</t>
  </si>
  <si>
    <t>ADRECMO-13_SR_J3</t>
  </si>
  <si>
    <t>ADRECMO-14_SR_J0</t>
  </si>
  <si>
    <t>ADRECMO-16_SR_J0</t>
  </si>
  <si>
    <t>ADRECMO-16_SR_J3</t>
  </si>
  <si>
    <t>ADRECMO-16_SR_JS</t>
  </si>
  <si>
    <t>ADRECMO-15_SR_J0</t>
  </si>
  <si>
    <t>ADRECMO-17_SR_J0</t>
  </si>
  <si>
    <t>ADRECMO-18_SR_J0</t>
  </si>
  <si>
    <t>ADRECMO-19_SR_J0</t>
  </si>
  <si>
    <t>ADRECMO-19_SR_J3</t>
  </si>
  <si>
    <t>ADRECMO-20_SR_J0</t>
  </si>
  <si>
    <t>ADRECMO-19_SR_JS</t>
  </si>
  <si>
    <t>ADRECMO-20_SR_J3</t>
  </si>
  <si>
    <t>ADRECMO-21_SR_J0</t>
  </si>
  <si>
    <t>ADRECMO-20_SR_JS</t>
  </si>
  <si>
    <t>ADRECMO-22_SR_J0</t>
  </si>
  <si>
    <t>ADRECMO-22_SR_JS</t>
  </si>
  <si>
    <t>ADRECMO-23_SR_J0</t>
  </si>
  <si>
    <t>ADRECMO-23_SR_J3</t>
  </si>
  <si>
    <t>ADRECMO-23_SR_JS</t>
  </si>
  <si>
    <t>ADRECMO-24_SR_J0</t>
  </si>
  <si>
    <t>ADRECMO-24_SR_JS</t>
  </si>
  <si>
    <t>ADRECMO-25_SR_J0</t>
  </si>
  <si>
    <t>ADRECMO-25_SR_J3</t>
  </si>
  <si>
    <t>ADRECMO-25_SR_JS</t>
  </si>
  <si>
    <t>ADRECMO-26_SR_J0</t>
  </si>
  <si>
    <t>ADRECMO-26_SR_J3</t>
  </si>
  <si>
    <t>ADRECMO-26_SR_JS</t>
  </si>
  <si>
    <t>ADRECMO-27_SR_J0</t>
  </si>
  <si>
    <t>ADRECMO-27_SR_J5</t>
  </si>
  <si>
    <t>ADRECMO-28_SR_J0</t>
  </si>
  <si>
    <t>ADRECMO-29_SR_J0</t>
  </si>
  <si>
    <t>ADRECMO-28_SR_J3</t>
  </si>
  <si>
    <t>ADRECMO-29_SR_J5</t>
  </si>
  <si>
    <t>ADRECMO-29_SR_JS</t>
  </si>
  <si>
    <t>ADRECMO-30_SR_J0</t>
  </si>
  <si>
    <t>ADRECMO-30_SR_J3-J5</t>
  </si>
  <si>
    <t>ADRECMO-31_SR_J0</t>
  </si>
  <si>
    <t>ADRECMO-30_SR_JSEVRAGE</t>
  </si>
  <si>
    <t>ADRECMO-31_SR_J3-5</t>
  </si>
  <si>
    <t>ADRECMO-32_SR_J0</t>
  </si>
  <si>
    <t>ADRECMO-32_SR_J3</t>
  </si>
  <si>
    <t>ADRECMO-31_SR_JS</t>
  </si>
  <si>
    <t>ADRECMO-33_SR_J0</t>
  </si>
  <si>
    <t>ADRECMO-34_SR_J0</t>
  </si>
  <si>
    <t>ADRECMO-35_SR_J0</t>
  </si>
  <si>
    <t>ADRECMO-36_SR_J0</t>
  </si>
  <si>
    <t>ADRECMO-36_SR_J3</t>
  </si>
  <si>
    <t>ADRECMO-37_SR_J0</t>
  </si>
  <si>
    <t>ADRECMO-36_SR_JS</t>
  </si>
  <si>
    <t>ADRECMO-38_SR_J0</t>
  </si>
  <si>
    <t>ADRECMO-37_SR_J4</t>
  </si>
  <si>
    <t>ADRECMO-38_SR_J3</t>
  </si>
  <si>
    <t>ADRECMO-39_SR_J0</t>
  </si>
  <si>
    <t>ADRECMO-40_SR_J0</t>
  </si>
  <si>
    <t>ADRECMO-40_SR_J3</t>
  </si>
  <si>
    <t>ADRECMO-41_SR_J0</t>
  </si>
  <si>
    <t>ADRECMO-40_JS</t>
  </si>
  <si>
    <t>ADRECMO-41_SR_JS</t>
  </si>
  <si>
    <t>ADRECMO-42_SR_J0</t>
  </si>
  <si>
    <t>ADRECMO-42_SR_JS</t>
  </si>
  <si>
    <t>ADRECMO-43_SR_J0</t>
  </si>
  <si>
    <t>ADRECMO-43_SR_J5</t>
  </si>
  <si>
    <t>ADRECMO-44_SR_J0</t>
  </si>
  <si>
    <t>ADRECMO-44_SR_J5</t>
  </si>
  <si>
    <t>ADRECMO-45_SR_J0</t>
  </si>
  <si>
    <t>ADRECMO-45_SR_J3-J5</t>
  </si>
  <si>
    <t>ADRECMO-45_SR_JS</t>
  </si>
  <si>
    <t>ADRECMO-46_SR_J0</t>
  </si>
  <si>
    <t>ADRECMO-46_SR_J3-J5</t>
  </si>
  <si>
    <t>ADRECMO-46_SR_JS</t>
  </si>
  <si>
    <t>ADRECMO-47_SR_J0</t>
  </si>
  <si>
    <t>ADRECMO-47_SR_J3-5</t>
  </si>
  <si>
    <t>ADRECMO-47_SR_JS</t>
  </si>
  <si>
    <t>ADRECMO-48_SR_J0</t>
  </si>
  <si>
    <t>ADRECMO-48_SR_J3</t>
  </si>
  <si>
    <t>ADRECMO-49_SR_J0</t>
  </si>
  <si>
    <t>ADRECMO-49_SR_J4</t>
  </si>
  <si>
    <t>ADRECMO-49_SR_JS</t>
  </si>
  <si>
    <t>ADRECMO-50_SR_J0</t>
  </si>
  <si>
    <t>ADRECMO-50_SR_JS</t>
  </si>
  <si>
    <t>box 1</t>
  </si>
  <si>
    <t>box 2</t>
  </si>
  <si>
    <t>Type</t>
  </si>
  <si>
    <t>box n°</t>
  </si>
  <si>
    <t>Study</t>
  </si>
  <si>
    <t>serum</t>
  </si>
  <si>
    <t>Sample ID number</t>
  </si>
  <si>
    <t>Running No.</t>
  </si>
  <si>
    <t>comment</t>
  </si>
  <si>
    <t>hemolytic</t>
  </si>
  <si>
    <t>J3-J5</t>
  </si>
  <si>
    <t>SEVRAGE</t>
  </si>
  <si>
    <t>Haptoglobin
g/l
Siemes Atellica</t>
  </si>
  <si>
    <t>&lt;LDL</t>
  </si>
  <si>
    <t>operation date</t>
  </si>
  <si>
    <t>assay/
system</t>
  </si>
  <si>
    <t>operator</t>
  </si>
  <si>
    <r>
      <t xml:space="preserve">implementation
</t>
    </r>
    <r>
      <rPr>
        <sz val="8"/>
        <rFont val="Tahoma"/>
        <family val="2"/>
      </rPr>
      <t xml:space="preserve"> </t>
    </r>
    <r>
      <rPr>
        <b/>
        <sz val="8"/>
        <rFont val="Tahoma"/>
        <family val="2"/>
      </rPr>
      <t>site</t>
    </r>
    <r>
      <rPr>
        <sz val="8"/>
        <rFont val="Tahoma"/>
        <family val="2"/>
      </rPr>
      <t xml:space="preserve"> </t>
    </r>
  </si>
  <si>
    <t>melt [x]</t>
  </si>
  <si>
    <t>melt time   [hour]</t>
  </si>
  <si>
    <t>quantity issued
 [µl]</t>
  </si>
  <si>
    <t>matrix</t>
  </si>
  <si>
    <t>serial number in the list of measurement</t>
  </si>
  <si>
    <t>notice</t>
  </si>
  <si>
    <t>N.T.</t>
  </si>
  <si>
    <t>Cottbus</t>
  </si>
  <si>
    <t>1-50</t>
  </si>
  <si>
    <t>51-112</t>
  </si>
  <si>
    <t>Laborstandort:</t>
  </si>
  <si>
    <t>Ansatz</t>
  </si>
  <si>
    <t>Chargen</t>
  </si>
  <si>
    <t>Gerätenummer</t>
  </si>
  <si>
    <t>Atellica 1</t>
  </si>
  <si>
    <t>Pat.Nr</t>
  </si>
  <si>
    <t>Kollektiv</t>
  </si>
  <si>
    <t>4teen4</t>
  </si>
  <si>
    <t>Reagenz</t>
  </si>
  <si>
    <t>Kalibrator</t>
  </si>
  <si>
    <t>Kalibrationsdatum</t>
  </si>
  <si>
    <t>Messdatum</t>
  </si>
  <si>
    <t>Sollwerte</t>
  </si>
  <si>
    <t>C 2</t>
  </si>
  <si>
    <t>C 3</t>
  </si>
  <si>
    <t xml:space="preserve">fehlerhafte Messung C1 </t>
  </si>
  <si>
    <t>fehlerhafte Messung C2</t>
  </si>
  <si>
    <t>MW</t>
  </si>
  <si>
    <t>Stabwn</t>
  </si>
  <si>
    <t>VK</t>
  </si>
  <si>
    <t>MW+2s</t>
  </si>
  <si>
    <t>Mw-2s</t>
  </si>
  <si>
    <t>Atellica 4</t>
  </si>
  <si>
    <t>4teen5</t>
  </si>
  <si>
    <t>C 1 (g/l)</t>
  </si>
  <si>
    <t>clot</t>
  </si>
  <si>
    <t>clot, 3_J3-J5</t>
  </si>
  <si>
    <t>4_J3-J5</t>
  </si>
  <si>
    <t>2h 40min</t>
  </si>
  <si>
    <t>2h</t>
  </si>
  <si>
    <t>Se</t>
  </si>
  <si>
    <t>Bemerkung:</t>
  </si>
  <si>
    <t>Aufgrund technischer Probleme wurde während des</t>
  </si>
  <si>
    <t>Die Proben wurden vor der Vermessung in Cups</t>
  </si>
  <si>
    <t>überführt.</t>
  </si>
  <si>
    <t>am  09.12.2025</t>
  </si>
  <si>
    <t>Atellica CH Siemens</t>
  </si>
  <si>
    <t>Haptoglobin</t>
  </si>
  <si>
    <t>Wash</t>
  </si>
  <si>
    <t>Charge</t>
  </si>
  <si>
    <t>Haltbarkeit</t>
  </si>
  <si>
    <t>140 461</t>
  </si>
  <si>
    <t>02.03.2026</t>
  </si>
  <si>
    <t>824 821</t>
  </si>
  <si>
    <t>28.01.2026</t>
  </si>
  <si>
    <t>200 692</t>
  </si>
  <si>
    <t>18.08.2026</t>
  </si>
  <si>
    <r>
      <t xml:space="preserve">0,609 - </t>
    </r>
    <r>
      <rPr>
        <b/>
        <sz val="9"/>
        <color indexed="8"/>
        <rFont val="Arial"/>
        <family val="2"/>
      </rPr>
      <t>0,673</t>
    </r>
    <r>
      <rPr>
        <sz val="9"/>
        <color indexed="8"/>
        <rFont val="Arial"/>
        <family val="2"/>
      </rPr>
      <t xml:space="preserve"> - 0,738</t>
    </r>
  </si>
  <si>
    <r>
      <t xml:space="preserve">1,35 - </t>
    </r>
    <r>
      <rPr>
        <b/>
        <sz val="9"/>
        <color indexed="8"/>
        <rFont val="Arial"/>
        <family val="2"/>
      </rPr>
      <t>1,52</t>
    </r>
    <r>
      <rPr>
        <sz val="9"/>
        <color indexed="8"/>
        <rFont val="Arial"/>
        <family val="2"/>
      </rPr>
      <t xml:space="preserve"> - 1,69</t>
    </r>
  </si>
  <si>
    <r>
      <t xml:space="preserve">1,97 - </t>
    </r>
    <r>
      <rPr>
        <b/>
        <sz val="9"/>
        <color indexed="8"/>
        <rFont val="Arial"/>
        <family val="2"/>
      </rPr>
      <t>2,23</t>
    </r>
    <r>
      <rPr>
        <sz val="9"/>
        <color indexed="8"/>
        <rFont val="Arial"/>
        <family val="2"/>
      </rPr>
      <t xml:space="preserve"> - 2,49</t>
    </r>
  </si>
  <si>
    <t>1-40 (nach)</t>
  </si>
  <si>
    <t>1-40 (vor)</t>
  </si>
  <si>
    <t>41-112 (vor)</t>
  </si>
  <si>
    <t>41-112 (nach)</t>
  </si>
  <si>
    <t>Laufs vom Atellica 4 auf den Atellica 1 gewechselt.</t>
  </si>
  <si>
    <t>kontrolliert 1 - 112 : 11.12.2025     N.T.</t>
  </si>
  <si>
    <t>QC</t>
  </si>
  <si>
    <t>85750T</t>
  </si>
  <si>
    <t>28.02.2026</t>
  </si>
  <si>
    <t>Messbereich:
0,10 - 7,0 g/l</t>
  </si>
  <si>
    <t>Haptoglobin Siemens Atellica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</si>
</sst>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
  </numFmts>
  <fonts count="20" x14ac:knownFonts="1">
    <font>
      <sz val="11"/>
      <color theme="1"/>
      <name val="Calibri"/>
      <family val="2"/>
      <scheme val="minor"/>
    </font>
    <font>
      <sz val="10"/>
      <color theme="1"/>
      <name val="Tahoma"/>
      <family val="2"/>
    </font>
    <font>
      <b/>
      <sz val="10"/>
      <color theme="1"/>
      <name val="Tahoma"/>
      <family val="2"/>
    </font>
    <font>
      <b/>
      <sz val="10"/>
      <name val="Tahoma"/>
      <family val="2"/>
    </font>
    <font>
      <b/>
      <sz val="10"/>
      <color indexed="8"/>
      <name val="Tahoma"/>
      <family val="2"/>
    </font>
    <font>
      <sz val="10"/>
      <name val="Arial"/>
      <family val="2"/>
    </font>
    <font>
      <b/>
      <sz val="8"/>
      <name val="Tahoma"/>
      <family val="2"/>
    </font>
    <font>
      <sz val="8"/>
      <name val="Tahoma"/>
      <family val="2"/>
    </font>
    <font>
      <sz val="10"/>
      <name val="Tahoma"/>
      <family val="2"/>
    </font>
    <font>
      <sz val="10"/>
      <color indexed="8"/>
      <name val="Tahoma"/>
      <family val="2"/>
    </font>
    <font>
      <sz val="9"/>
      <color indexed="81"/>
      <name val="Arial"/>
      <family val="2"/>
    </font>
    <font>
      <sz val="9"/>
      <color indexed="81"/>
      <name val="Tahoma"/>
      <family val="2"/>
    </font>
    <font>
      <b/>
      <sz val="9"/>
      <color indexed="81"/>
      <name val="Tahoma"/>
      <family val="2"/>
    </font>
    <font>
      <sz val="10"/>
      <name val="Arial"/>
      <family val="2"/>
    </font>
    <font>
      <b/>
      <sz val="10"/>
      <name val="Arial"/>
      <family val="2"/>
    </font>
    <font>
      <sz val="11"/>
      <name val="Times New Roman"/>
      <family val="1"/>
    </font>
    <font>
      <sz val="10"/>
      <color indexed="8"/>
      <name val="Arial"/>
      <family val="2"/>
    </font>
    <font>
      <b/>
      <sz val="10"/>
      <color indexed="8"/>
      <name val="Arial"/>
      <family val="2"/>
    </font>
    <font>
      <sz val="9"/>
      <color indexed="8"/>
      <name val="Arial"/>
      <family val="2"/>
    </font>
    <font>
      <b/>
      <sz val="9"/>
      <color indexed="8"/>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2"/>
        <bgColor indexed="64"/>
      </patternFill>
    </fill>
    <fill>
      <patternFill patternType="solid">
        <fgColor theme="9" tint="0.59999389629810485"/>
        <bgColor indexed="64"/>
      </patternFill>
    </fill>
  </fills>
  <borders count="5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top style="thin">
        <color auto="1"/>
      </top>
      <bottom style="medium">
        <color indexed="64"/>
      </bottom>
      <diagonal/>
    </border>
    <border>
      <left/>
      <right/>
      <top style="medium">
        <color indexed="64"/>
      </top>
      <bottom/>
      <diagonal/>
    </border>
    <border>
      <left style="medium">
        <color indexed="64"/>
      </left>
      <right style="medium">
        <color indexed="64"/>
      </right>
      <top/>
      <bottom style="thin">
        <color auto="1"/>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diagonalUp="1" diagonalDown="1">
      <left style="medium">
        <color indexed="64"/>
      </left>
      <right style="medium">
        <color indexed="64"/>
      </right>
      <top style="medium">
        <color indexed="64"/>
      </top>
      <bottom/>
      <diagonal style="medium">
        <color indexed="64"/>
      </diagonal>
    </border>
    <border diagonalUp="1" diagonalDown="1">
      <left style="medium">
        <color indexed="64"/>
      </left>
      <right style="medium">
        <color indexed="64"/>
      </right>
      <top/>
      <bottom/>
      <diagonal style="medium">
        <color indexed="64"/>
      </diagonal>
    </border>
    <border diagonalUp="1" diagonalDown="1">
      <left style="medium">
        <color indexed="64"/>
      </left>
      <right style="medium">
        <color indexed="64"/>
      </right>
      <top/>
      <bottom style="medium">
        <color indexed="64"/>
      </bottom>
      <diagonal style="medium">
        <color indexed="64"/>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double">
        <color indexed="64"/>
      </bottom>
      <diagonal/>
    </border>
    <border>
      <left style="medium">
        <color indexed="64"/>
      </left>
      <right/>
      <top/>
      <bottom style="double">
        <color indexed="64"/>
      </bottom>
      <diagonal/>
    </border>
    <border>
      <left style="thin">
        <color indexed="64"/>
      </left>
      <right style="thin">
        <color indexed="64"/>
      </right>
      <top/>
      <bottom style="double">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s>
  <cellStyleXfs count="6">
    <xf numFmtId="0" fontId="0" fillId="0" borderId="0"/>
    <xf numFmtId="0" fontId="5" fillId="0" borderId="0"/>
    <xf numFmtId="0" fontId="13" fillId="0" borderId="0"/>
    <xf numFmtId="0" fontId="15" fillId="0" borderId="0"/>
    <xf numFmtId="0" fontId="13" fillId="0" borderId="0"/>
    <xf numFmtId="0" fontId="5" fillId="0" borderId="0"/>
  </cellStyleXfs>
  <cellXfs count="138">
    <xf numFmtId="0" fontId="0" fillId="0" borderId="0" xfId="0"/>
    <xf numFmtId="0" fontId="1" fillId="0" borderId="0" xfId="0" applyFont="1"/>
    <xf numFmtId="0" fontId="2" fillId="2" borderId="2" xfId="0" applyFont="1" applyFill="1" applyBorder="1" applyAlignment="1">
      <alignment horizontal="center" wrapText="1"/>
    </xf>
    <xf numFmtId="0" fontId="3" fillId="2" borderId="1" xfId="0" applyFont="1" applyFill="1" applyBorder="1" applyAlignment="1">
      <alignment horizontal="center" vertical="center" wrapText="1"/>
    </xf>
    <xf numFmtId="0" fontId="1" fillId="0" borderId="4" xfId="0" applyFont="1" applyBorder="1"/>
    <xf numFmtId="0" fontId="1" fillId="0" borderId="5" xfId="0" applyFont="1" applyBorder="1"/>
    <xf numFmtId="0" fontId="1" fillId="0" borderId="6" xfId="0" applyFont="1" applyBorder="1"/>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9" xfId="0" applyFont="1" applyBorder="1"/>
    <xf numFmtId="0" fontId="1" fillId="0" borderId="10" xfId="0" applyFont="1" applyBorder="1" applyAlignment="1">
      <alignment horizontal="center" vertical="center"/>
    </xf>
    <xf numFmtId="0" fontId="1" fillId="0" borderId="11" xfId="0" applyFont="1" applyBorder="1"/>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xf numFmtId="0" fontId="2" fillId="2" borderId="13" xfId="0" applyFont="1" applyFill="1" applyBorder="1" applyAlignment="1">
      <alignment horizontal="center" vertical="center"/>
    </xf>
    <xf numFmtId="164" fontId="1" fillId="0" borderId="14" xfId="0" applyNumberFormat="1" applyFont="1" applyBorder="1" applyAlignment="1">
      <alignment horizontal="right"/>
    </xf>
    <xf numFmtId="164" fontId="1" fillId="0" borderId="5" xfId="0" applyNumberFormat="1" applyFont="1" applyBorder="1" applyAlignment="1">
      <alignment horizontal="right"/>
    </xf>
    <xf numFmtId="164" fontId="1" fillId="0" borderId="6" xfId="0" applyNumberFormat="1" applyFont="1" applyBorder="1" applyAlignment="1">
      <alignment horizontal="right"/>
    </xf>
    <xf numFmtId="0" fontId="6" fillId="3" borderId="15" xfId="1" applyFont="1" applyFill="1" applyBorder="1" applyAlignment="1">
      <alignment horizontal="center" wrapText="1"/>
    </xf>
    <xf numFmtId="0" fontId="6" fillId="3" borderId="1" xfId="1" applyFont="1" applyFill="1" applyBorder="1" applyAlignment="1">
      <alignment horizontal="center" wrapText="1"/>
    </xf>
    <xf numFmtId="0" fontId="6" fillId="3" borderId="12" xfId="1" applyFont="1" applyFill="1" applyBorder="1" applyAlignment="1">
      <alignment horizontal="center" wrapText="1"/>
    </xf>
    <xf numFmtId="0" fontId="6" fillId="3" borderId="1" xfId="1" applyFont="1" applyFill="1" applyBorder="1" applyAlignment="1">
      <alignment horizontal="center"/>
    </xf>
    <xf numFmtId="0" fontId="14" fillId="0" borderId="1" xfId="2" applyFont="1" applyBorder="1"/>
    <xf numFmtId="0" fontId="5" fillId="0" borderId="0" xfId="2" applyFont="1"/>
    <xf numFmtId="0" fontId="5" fillId="4" borderId="0" xfId="2" applyFont="1" applyFill="1" applyAlignment="1" applyProtection="1">
      <alignment wrapText="1"/>
      <protection locked="0"/>
    </xf>
    <xf numFmtId="0" fontId="16" fillId="0" borderId="16" xfId="3" applyFont="1" applyBorder="1" applyAlignment="1">
      <alignment horizontal="left"/>
    </xf>
    <xf numFmtId="0" fontId="16" fillId="0" borderId="16" xfId="3" applyFont="1" applyBorder="1" applyAlignment="1">
      <alignment horizontal="center"/>
    </xf>
    <xf numFmtId="0" fontId="17" fillId="0" borderId="21" xfId="4" applyFont="1" applyBorder="1" applyAlignment="1">
      <alignment horizontal="center" wrapText="1"/>
    </xf>
    <xf numFmtId="0" fontId="5" fillId="0" borderId="23" xfId="2" applyFont="1" applyBorder="1"/>
    <xf numFmtId="49" fontId="16" fillId="4" borderId="24" xfId="4" applyNumberFormat="1" applyFont="1" applyFill="1" applyBorder="1" applyAlignment="1" applyProtection="1">
      <alignment horizontal="center" wrapText="1"/>
      <protection locked="0"/>
    </xf>
    <xf numFmtId="49" fontId="16" fillId="4" borderId="25" xfId="4" applyNumberFormat="1" applyFont="1" applyFill="1" applyBorder="1" applyAlignment="1" applyProtection="1">
      <alignment horizontal="center" wrapText="1"/>
      <protection locked="0"/>
    </xf>
    <xf numFmtId="49" fontId="16" fillId="4" borderId="26" xfId="4" applyNumberFormat="1" applyFont="1" applyFill="1" applyBorder="1" applyAlignment="1" applyProtection="1">
      <alignment horizontal="center" wrapText="1"/>
      <protection locked="0"/>
    </xf>
    <xf numFmtId="49" fontId="16" fillId="4" borderId="27" xfId="4" applyNumberFormat="1" applyFont="1" applyFill="1" applyBorder="1" applyAlignment="1" applyProtection="1">
      <alignment horizontal="center" wrapText="1"/>
      <protection locked="0"/>
    </xf>
    <xf numFmtId="0" fontId="16" fillId="0" borderId="17" xfId="3" applyFont="1" applyBorder="1" applyAlignment="1">
      <alignment horizontal="left"/>
    </xf>
    <xf numFmtId="0" fontId="16" fillId="0" borderId="17" xfId="3" applyFont="1" applyBorder="1" applyAlignment="1">
      <alignment horizontal="center"/>
    </xf>
    <xf numFmtId="0" fontId="16" fillId="4" borderId="28" xfId="4" applyFont="1" applyFill="1" applyBorder="1" applyAlignment="1" applyProtection="1">
      <alignment horizontal="center" wrapText="1"/>
      <protection locked="0"/>
    </xf>
    <xf numFmtId="0" fontId="16" fillId="4" borderId="29" xfId="4" applyFont="1" applyFill="1" applyBorder="1" applyAlignment="1" applyProtection="1">
      <alignment horizontal="center" wrapText="1"/>
      <protection locked="0"/>
    </xf>
    <xf numFmtId="0" fontId="5" fillId="0" borderId="16" xfId="5" applyBorder="1"/>
    <xf numFmtId="49" fontId="16" fillId="4" borderId="18" xfId="3" applyNumberFormat="1" applyFont="1" applyFill="1" applyBorder="1" applyAlignment="1" applyProtection="1">
      <alignment horizontal="center"/>
      <protection locked="0"/>
    </xf>
    <xf numFmtId="0" fontId="5" fillId="0" borderId="23" xfId="5" applyBorder="1"/>
    <xf numFmtId="49" fontId="16" fillId="4" borderId="20" xfId="3" applyNumberFormat="1" applyFont="1" applyFill="1" applyBorder="1" applyAlignment="1" applyProtection="1">
      <alignment horizontal="center"/>
      <protection locked="0"/>
    </xf>
    <xf numFmtId="0" fontId="5" fillId="0" borderId="17" xfId="5" applyBorder="1"/>
    <xf numFmtId="0" fontId="16" fillId="4" borderId="22" xfId="3" applyFont="1" applyFill="1" applyBorder="1" applyAlignment="1" applyProtection="1">
      <alignment horizontal="center"/>
      <protection locked="0"/>
    </xf>
    <xf numFmtId="0" fontId="5" fillId="0" borderId="0" xfId="2" applyFont="1" applyProtection="1">
      <protection locked="0"/>
    </xf>
    <xf numFmtId="0" fontId="5" fillId="0" borderId="1" xfId="2" applyFont="1" applyBorder="1" applyProtection="1">
      <protection locked="0"/>
    </xf>
    <xf numFmtId="165" fontId="16" fillId="0" borderId="28" xfId="4" applyNumberFormat="1" applyFont="1" applyBorder="1" applyAlignment="1" applyProtection="1">
      <alignment horizontal="center"/>
      <protection locked="0"/>
    </xf>
    <xf numFmtId="165" fontId="16" fillId="0" borderId="33" xfId="4" applyNumberFormat="1" applyFont="1" applyBorder="1" applyAlignment="1" applyProtection="1">
      <alignment horizontal="center"/>
      <protection locked="0"/>
    </xf>
    <xf numFmtId="14" fontId="5" fillId="4" borderId="34" xfId="0" applyNumberFormat="1" applyFont="1" applyFill="1" applyBorder="1" applyAlignment="1">
      <alignment horizontal="center" vertical="center"/>
    </xf>
    <xf numFmtId="0" fontId="16" fillId="0" borderId="19" xfId="3" applyFont="1" applyBorder="1" applyAlignment="1">
      <alignment horizontal="center"/>
    </xf>
    <xf numFmtId="0" fontId="16" fillId="0" borderId="1" xfId="3" applyFont="1" applyBorder="1" applyAlignment="1">
      <alignment horizontal="center"/>
    </xf>
    <xf numFmtId="0" fontId="18" fillId="5" borderId="16" xfId="3" applyFont="1" applyFill="1" applyBorder="1" applyAlignment="1" applyProtection="1">
      <alignment horizontal="center"/>
      <protection locked="0"/>
    </xf>
    <xf numFmtId="0" fontId="16" fillId="0" borderId="23" xfId="3" applyFont="1" applyBorder="1" applyAlignment="1">
      <alignment horizontal="left"/>
    </xf>
    <xf numFmtId="0" fontId="18" fillId="5" borderId="23" xfId="3" applyFont="1" applyFill="1" applyBorder="1" applyAlignment="1" applyProtection="1">
      <alignment horizontal="center"/>
      <protection locked="0"/>
    </xf>
    <xf numFmtId="0" fontId="16" fillId="0" borderId="35" xfId="3" applyFont="1" applyBorder="1" applyAlignment="1">
      <alignment horizontal="left"/>
    </xf>
    <xf numFmtId="0" fontId="18" fillId="5" borderId="17" xfId="3" applyFont="1" applyFill="1" applyBorder="1" applyAlignment="1" applyProtection="1">
      <alignment horizontal="center"/>
      <protection locked="0"/>
    </xf>
    <xf numFmtId="0" fontId="5" fillId="4" borderId="20" xfId="0" applyFont="1" applyFill="1" applyBorder="1" applyProtection="1">
      <protection locked="0"/>
    </xf>
    <xf numFmtId="0" fontId="5" fillId="4" borderId="22" xfId="0" applyFont="1" applyFill="1" applyBorder="1" applyProtection="1">
      <protection locked="0"/>
    </xf>
    <xf numFmtId="0" fontId="16" fillId="0" borderId="0" xfId="3" applyFont="1" applyAlignment="1">
      <alignment horizontal="left"/>
    </xf>
    <xf numFmtId="164" fontId="16" fillId="0" borderId="0" xfId="3" applyNumberFormat="1" applyFont="1" applyAlignment="1" applyProtection="1">
      <alignment horizontal="center"/>
      <protection locked="0"/>
    </xf>
    <xf numFmtId="164" fontId="16" fillId="0" borderId="0" xfId="4" applyNumberFormat="1" applyFont="1" applyAlignment="1">
      <alignment horizontal="center" wrapText="1"/>
    </xf>
    <xf numFmtId="0" fontId="5" fillId="0" borderId="38" xfId="2" applyFont="1" applyBorder="1"/>
    <xf numFmtId="0" fontId="14" fillId="0" borderId="39" xfId="4" applyFont="1" applyBorder="1" applyAlignment="1">
      <alignment horizontal="center"/>
    </xf>
    <xf numFmtId="1" fontId="14" fillId="0" borderId="40" xfId="4" applyNumberFormat="1" applyFont="1" applyBorder="1" applyAlignment="1">
      <alignment horizontal="center"/>
    </xf>
    <xf numFmtId="164" fontId="14" fillId="0" borderId="41" xfId="4" applyNumberFormat="1" applyFont="1" applyBorder="1" applyAlignment="1">
      <alignment horizontal="center"/>
    </xf>
    <xf numFmtId="0" fontId="5" fillId="6" borderId="0" xfId="2" applyFont="1" applyFill="1"/>
    <xf numFmtId="2" fontId="5" fillId="0" borderId="42" xfId="4" applyNumberFormat="1" applyFont="1" applyBorder="1" applyAlignment="1">
      <alignment horizontal="right"/>
    </xf>
    <xf numFmtId="2" fontId="5" fillId="0" borderId="43" xfId="4" applyNumberFormat="1" applyFont="1" applyBorder="1" applyAlignment="1">
      <alignment horizontal="right"/>
    </xf>
    <xf numFmtId="164" fontId="5" fillId="0" borderId="44" xfId="4" applyNumberFormat="1" applyFont="1" applyBorder="1" applyAlignment="1">
      <alignment horizontal="right"/>
    </xf>
    <xf numFmtId="2" fontId="14" fillId="0" borderId="42" xfId="2" applyNumberFormat="1" applyFont="1" applyBorder="1"/>
    <xf numFmtId="2" fontId="14" fillId="0" borderId="45" xfId="2" applyNumberFormat="1" applyFont="1" applyBorder="1"/>
    <xf numFmtId="2" fontId="5" fillId="0" borderId="46" xfId="4" applyNumberFormat="1" applyFont="1" applyBorder="1" applyAlignment="1">
      <alignment horizontal="right"/>
    </xf>
    <xf numFmtId="2" fontId="5" fillId="0" borderId="33" xfId="4" applyNumberFormat="1" applyFont="1" applyBorder="1" applyAlignment="1">
      <alignment horizontal="right"/>
    </xf>
    <xf numFmtId="164" fontId="5" fillId="0" borderId="47" xfId="4" applyNumberFormat="1" applyFont="1" applyBorder="1" applyAlignment="1">
      <alignment horizontal="right"/>
    </xf>
    <xf numFmtId="2" fontId="14" fillId="0" borderId="46" xfId="2" applyNumberFormat="1" applyFont="1" applyBorder="1"/>
    <xf numFmtId="2" fontId="14" fillId="0" borderId="48" xfId="2" applyNumberFormat="1" applyFont="1" applyBorder="1"/>
    <xf numFmtId="0" fontId="16" fillId="0" borderId="14" xfId="3" applyFont="1" applyBorder="1" applyAlignment="1">
      <alignment horizontal="left"/>
    </xf>
    <xf numFmtId="1" fontId="5" fillId="0" borderId="46" xfId="4" applyNumberFormat="1" applyFont="1" applyBorder="1" applyAlignment="1">
      <alignment horizontal="right"/>
    </xf>
    <xf numFmtId="1" fontId="5" fillId="0" borderId="33" xfId="4" applyNumberFormat="1" applyFont="1" applyBorder="1" applyAlignment="1">
      <alignment horizontal="right"/>
    </xf>
    <xf numFmtId="1" fontId="14" fillId="0" borderId="46" xfId="2" applyNumberFormat="1" applyFont="1" applyBorder="1"/>
    <xf numFmtId="1" fontId="14" fillId="0" borderId="48" xfId="2" applyNumberFormat="1" applyFont="1" applyBorder="1"/>
    <xf numFmtId="1" fontId="5" fillId="0" borderId="49" xfId="4" applyNumberFormat="1" applyFont="1" applyBorder="1" applyAlignment="1">
      <alignment horizontal="right"/>
    </xf>
    <xf numFmtId="1" fontId="5" fillId="0" borderId="50" xfId="4" applyNumberFormat="1" applyFont="1" applyBorder="1" applyAlignment="1">
      <alignment horizontal="right"/>
    </xf>
    <xf numFmtId="164" fontId="5" fillId="0" borderId="51" xfId="4" applyNumberFormat="1" applyFont="1" applyBorder="1" applyAlignment="1">
      <alignment horizontal="right"/>
    </xf>
    <xf numFmtId="1" fontId="14" fillId="0" borderId="49" xfId="2" applyNumberFormat="1" applyFont="1" applyBorder="1"/>
    <xf numFmtId="1" fontId="14" fillId="0" borderId="15" xfId="2" applyNumberFormat="1" applyFont="1" applyBorder="1"/>
    <xf numFmtId="0" fontId="3" fillId="2" borderId="2" xfId="0" applyFont="1" applyFill="1" applyBorder="1" applyAlignment="1">
      <alignment horizontal="center" vertical="center" wrapText="1"/>
    </xf>
    <xf numFmtId="0" fontId="3" fillId="7" borderId="16" xfId="0" applyFont="1" applyFill="1" applyBorder="1" applyAlignment="1">
      <alignment horizontal="center" vertical="center" wrapText="1"/>
    </xf>
    <xf numFmtId="0" fontId="1"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7" borderId="5" xfId="0" applyFont="1" applyFill="1" applyBorder="1" applyAlignment="1">
      <alignment horizontal="center"/>
    </xf>
    <xf numFmtId="0" fontId="1" fillId="0" borderId="6" xfId="0" applyFont="1" applyBorder="1" applyAlignment="1">
      <alignment horizontal="center"/>
    </xf>
    <xf numFmtId="0" fontId="0" fillId="0" borderId="52" xfId="0" applyBorder="1"/>
    <xf numFmtId="0" fontId="0" fillId="0" borderId="19" xfId="0" applyBorder="1"/>
    <xf numFmtId="0" fontId="0" fillId="0" borderId="54" xfId="0" applyBorder="1"/>
    <xf numFmtId="0" fontId="0" fillId="0" borderId="33" xfId="0" applyBorder="1"/>
    <xf numFmtId="0" fontId="0" fillId="0" borderId="25" xfId="0" applyBorder="1"/>
    <xf numFmtId="0" fontId="0" fillId="0" borderId="27" xfId="0" applyBorder="1"/>
    <xf numFmtId="0" fontId="0" fillId="0" borderId="29" xfId="0" applyBorder="1"/>
    <xf numFmtId="0" fontId="0" fillId="0" borderId="52" xfId="0" applyBorder="1" applyAlignment="1">
      <alignment horizontal="center"/>
    </xf>
    <xf numFmtId="0" fontId="0" fillId="0" borderId="18" xfId="0" applyBorder="1" applyAlignment="1">
      <alignment horizontal="center"/>
    </xf>
    <xf numFmtId="49" fontId="0" fillId="0" borderId="52" xfId="0" applyNumberFormat="1" applyBorder="1" applyAlignment="1">
      <alignment horizontal="center"/>
    </xf>
    <xf numFmtId="49" fontId="0" fillId="0" borderId="18" xfId="0" applyNumberFormat="1" applyBorder="1" applyAlignment="1">
      <alignment horizontal="center"/>
    </xf>
    <xf numFmtId="49" fontId="0" fillId="0" borderId="19" xfId="0" applyNumberFormat="1" applyBorder="1" applyAlignment="1">
      <alignment horizontal="center"/>
    </xf>
    <xf numFmtId="49" fontId="0" fillId="0" borderId="20" xfId="0" applyNumberFormat="1" applyBorder="1" applyAlignment="1">
      <alignment horizontal="center"/>
    </xf>
    <xf numFmtId="49" fontId="0" fillId="0" borderId="54" xfId="0" applyNumberFormat="1" applyBorder="1" applyAlignment="1">
      <alignment horizontal="center"/>
    </xf>
    <xf numFmtId="49" fontId="0" fillId="0" borderId="22" xfId="0" applyNumberFormat="1" applyBorder="1" applyAlignment="1">
      <alignment horizontal="center"/>
    </xf>
    <xf numFmtId="2" fontId="5" fillId="4" borderId="24" xfId="0" applyNumberFormat="1" applyFont="1" applyFill="1" applyBorder="1" applyProtection="1">
      <protection locked="0"/>
    </xf>
    <xf numFmtId="2" fontId="5" fillId="4" borderId="25" xfId="0" applyNumberFormat="1" applyFont="1" applyFill="1" applyBorder="1" applyProtection="1">
      <protection locked="0"/>
    </xf>
    <xf numFmtId="2" fontId="5" fillId="4" borderId="26" xfId="0" applyNumberFormat="1" applyFont="1" applyFill="1" applyBorder="1" applyProtection="1">
      <protection locked="0"/>
    </xf>
    <xf numFmtId="2" fontId="5" fillId="4" borderId="27" xfId="0" applyNumberFormat="1" applyFont="1" applyFill="1" applyBorder="1" applyProtection="1">
      <protection locked="0"/>
    </xf>
    <xf numFmtId="2" fontId="5" fillId="4" borderId="36" xfId="0" applyNumberFormat="1" applyFont="1" applyFill="1" applyBorder="1" applyProtection="1">
      <protection locked="0"/>
    </xf>
    <xf numFmtId="2" fontId="5" fillId="4" borderId="37" xfId="0" applyNumberFormat="1" applyFont="1" applyFill="1" applyBorder="1" applyProtection="1">
      <protection locked="0"/>
    </xf>
    <xf numFmtId="0" fontId="0" fillId="0" borderId="0" xfId="0" applyAlignment="1">
      <alignment horizontal="center"/>
    </xf>
    <xf numFmtId="0" fontId="0" fillId="0" borderId="47" xfId="0" applyBorder="1" applyAlignment="1">
      <alignment horizontal="center"/>
    </xf>
    <xf numFmtId="0" fontId="0" fillId="0" borderId="34" xfId="0" applyBorder="1" applyAlignment="1">
      <alignment horizontal="center"/>
    </xf>
    <xf numFmtId="0" fontId="0" fillId="0" borderId="53" xfId="0" applyBorder="1" applyAlignment="1">
      <alignment horizontal="left"/>
    </xf>
    <xf numFmtId="0" fontId="0" fillId="0" borderId="18" xfId="0" applyBorder="1" applyAlignment="1">
      <alignment horizontal="left"/>
    </xf>
    <xf numFmtId="0" fontId="0" fillId="0" borderId="0" xfId="0"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8" fillId="0" borderId="16" xfId="1" applyFont="1" applyBorder="1" applyAlignment="1">
      <alignment horizontal="center" vertical="center" wrapText="1"/>
    </xf>
    <xf numFmtId="0" fontId="8" fillId="0" borderId="17" xfId="1" applyFont="1" applyBorder="1" applyAlignment="1">
      <alignment horizontal="center" vertical="center" wrapText="1"/>
    </xf>
    <xf numFmtId="49" fontId="8" fillId="0" borderId="16" xfId="1" applyNumberFormat="1" applyFont="1" applyBorder="1" applyAlignment="1">
      <alignment horizontal="center" vertical="center" wrapText="1"/>
    </xf>
    <xf numFmtId="49" fontId="8" fillId="0" borderId="17" xfId="1" applyNumberFormat="1" applyFont="1" applyBorder="1" applyAlignment="1">
      <alignment horizontal="center" vertical="center"/>
    </xf>
    <xf numFmtId="0" fontId="8" fillId="0" borderId="17" xfId="1" applyFont="1" applyBorder="1" applyAlignment="1">
      <alignment horizontal="center" vertical="center"/>
    </xf>
    <xf numFmtId="49" fontId="8" fillId="0" borderId="16" xfId="1" applyNumberFormat="1" applyFont="1" applyBorder="1" applyAlignment="1">
      <alignment horizontal="center" vertical="center"/>
    </xf>
    <xf numFmtId="20" fontId="8" fillId="0" borderId="16" xfId="1" applyNumberFormat="1" applyFont="1" applyBorder="1" applyAlignment="1">
      <alignment horizontal="center" vertical="center" wrapText="1"/>
    </xf>
    <xf numFmtId="0" fontId="0" fillId="0" borderId="17" xfId="0" applyBorder="1" applyAlignment="1">
      <alignment horizontal="center" vertical="center" wrapText="1"/>
    </xf>
    <xf numFmtId="14" fontId="8" fillId="0" borderId="16" xfId="1" applyNumberFormat="1" applyFont="1" applyBorder="1" applyAlignment="1">
      <alignment horizontal="center" vertical="center" wrapText="1"/>
    </xf>
    <xf numFmtId="0" fontId="9" fillId="0" borderId="17" xfId="0" applyFont="1" applyBorder="1" applyAlignment="1">
      <alignment horizontal="center" vertical="center" wrapText="1"/>
    </xf>
    <xf numFmtId="49" fontId="16" fillId="3" borderId="30" xfId="3" applyNumberFormat="1" applyFont="1" applyFill="1" applyBorder="1" applyAlignment="1">
      <alignment horizontal="center"/>
    </xf>
    <xf numFmtId="49" fontId="16" fillId="3" borderId="31" xfId="3" applyNumberFormat="1" applyFont="1" applyFill="1" applyBorder="1" applyAlignment="1">
      <alignment horizontal="center"/>
    </xf>
    <xf numFmtId="49" fontId="16" fillId="3" borderId="32" xfId="3" applyNumberFormat="1" applyFont="1" applyFill="1" applyBorder="1" applyAlignment="1">
      <alignment horizontal="center"/>
    </xf>
    <xf numFmtId="49" fontId="16" fillId="0" borderId="2" xfId="3" applyNumberFormat="1" applyFont="1" applyBorder="1" applyAlignment="1">
      <alignment horizontal="left"/>
    </xf>
    <xf numFmtId="49" fontId="16" fillId="0" borderId="3" xfId="3" applyNumberFormat="1" applyFont="1" applyBorder="1" applyAlignment="1">
      <alignment horizontal="left"/>
    </xf>
  </cellXfs>
  <cellStyles count="6">
    <cellStyle name="Normal" xfId="0" builtinId="0"/>
    <cellStyle name="Standard_Cle1_2terTeil_24.11.08_Cottbus 2" xfId="5" xr:uid="{00000000-0005-0000-0000-000001000000}"/>
    <cellStyle name="Standard_Dokumentationsmaske_SB" xfId="1" xr:uid="{00000000-0005-0000-0000-000002000000}"/>
    <cellStyle name="Standard_Herrlinger" xfId="4" xr:uid="{00000000-0005-0000-0000-000003000000}"/>
    <cellStyle name="Standard_Hüls2_13.08.07" xfId="2" xr:uid="{00000000-0005-0000-0000-000004000000}"/>
    <cellStyle name="Standard_Kurvendatenblätter"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C8" sqref="C8"/>
    </sheetView>
  </sheetViews>
  <sheetFormatPr baseColWidth="10" defaultRowHeight="15" x14ac:dyDescent="0.2"/>
  <sheetData>
    <row r="1" spans="1:3" x14ac:dyDescent="0.2">
      <c r="A1" s="114" t="s">
        <v>176</v>
      </c>
      <c r="B1" s="114"/>
      <c r="C1" s="114"/>
    </row>
    <row r="2" spans="1:3" x14ac:dyDescent="0.2">
      <c r="B2" s="115" t="s">
        <v>177</v>
      </c>
      <c r="C2" s="116"/>
    </row>
    <row r="3" spans="1:3" x14ac:dyDescent="0.2">
      <c r="A3" s="96"/>
      <c r="B3" s="115" t="s">
        <v>178</v>
      </c>
      <c r="C3" s="116"/>
    </row>
    <row r="4" spans="1:3" x14ac:dyDescent="0.2">
      <c r="A4" s="97"/>
      <c r="B4" s="100" t="s">
        <v>180</v>
      </c>
      <c r="C4" s="101" t="s">
        <v>181</v>
      </c>
    </row>
    <row r="5" spans="1:3" x14ac:dyDescent="0.2">
      <c r="A5" s="97" t="s">
        <v>149</v>
      </c>
      <c r="B5" s="102" t="s">
        <v>182</v>
      </c>
      <c r="C5" s="103" t="s">
        <v>183</v>
      </c>
    </row>
    <row r="6" spans="1:3" x14ac:dyDescent="0.2">
      <c r="A6" s="98" t="s">
        <v>150</v>
      </c>
      <c r="B6" s="104" t="s">
        <v>184</v>
      </c>
      <c r="C6" s="105" t="s">
        <v>185</v>
      </c>
    </row>
    <row r="7" spans="1:3" x14ac:dyDescent="0.2">
      <c r="A7" s="98" t="s">
        <v>197</v>
      </c>
      <c r="B7" s="104" t="s">
        <v>198</v>
      </c>
      <c r="C7" s="105" t="s">
        <v>199</v>
      </c>
    </row>
    <row r="8" spans="1:3" x14ac:dyDescent="0.2">
      <c r="A8" s="99" t="s">
        <v>179</v>
      </c>
      <c r="B8" s="106" t="s">
        <v>186</v>
      </c>
      <c r="C8" s="107" t="s">
        <v>187</v>
      </c>
    </row>
  </sheetData>
  <mergeCells count="3">
    <mergeCell ref="A1:C1"/>
    <mergeCell ref="B2:C2"/>
    <mergeCell ref="B3:C3"/>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selection activeCell="B6" sqref="B6"/>
    </sheetView>
  </sheetViews>
  <sheetFormatPr baseColWidth="10" defaultRowHeight="15" x14ac:dyDescent="0.2"/>
  <cols>
    <col min="1" max="1" width="15.6640625" customWidth="1"/>
    <col min="2" max="2" width="21.6640625" customWidth="1"/>
    <col min="3" max="3" width="10.33203125" customWidth="1"/>
    <col min="4" max="4" width="15.33203125" customWidth="1"/>
    <col min="5" max="5" width="6.5" customWidth="1"/>
    <col min="7" max="7" width="10.5" customWidth="1"/>
    <col min="9" max="9" width="14.1640625" customWidth="1"/>
    <col min="10" max="10" width="22.5" customWidth="1"/>
  </cols>
  <sheetData>
    <row r="1" spans="1:10" ht="38" thickBot="1" x14ac:dyDescent="0.25">
      <c r="A1" s="19" t="s">
        <v>127</v>
      </c>
      <c r="B1" s="20" t="s">
        <v>128</v>
      </c>
      <c r="C1" s="20" t="s">
        <v>129</v>
      </c>
      <c r="D1" s="20" t="s">
        <v>130</v>
      </c>
      <c r="E1" s="21" t="s">
        <v>131</v>
      </c>
      <c r="F1" s="20" t="s">
        <v>132</v>
      </c>
      <c r="G1" s="21" t="s">
        <v>133</v>
      </c>
      <c r="H1" s="20" t="s">
        <v>134</v>
      </c>
      <c r="I1" s="21" t="s">
        <v>135</v>
      </c>
      <c r="J1" s="22" t="s">
        <v>136</v>
      </c>
    </row>
    <row r="2" spans="1:10" x14ac:dyDescent="0.2">
      <c r="A2" s="131">
        <v>45697</v>
      </c>
      <c r="B2" s="123" t="s">
        <v>201</v>
      </c>
      <c r="C2" s="123" t="s">
        <v>137</v>
      </c>
      <c r="D2" s="123" t="s">
        <v>138</v>
      </c>
      <c r="E2" s="123">
        <v>1</v>
      </c>
      <c r="F2" s="129" t="s">
        <v>169</v>
      </c>
      <c r="G2" s="123">
        <v>5</v>
      </c>
      <c r="H2" s="123" t="s">
        <v>171</v>
      </c>
      <c r="I2" s="128" t="s">
        <v>139</v>
      </c>
      <c r="J2" s="123" t="s">
        <v>200</v>
      </c>
    </row>
    <row r="3" spans="1:10" ht="16" thickBot="1" x14ac:dyDescent="0.25">
      <c r="A3" s="124"/>
      <c r="B3" s="132"/>
      <c r="C3" s="124"/>
      <c r="D3" s="124"/>
      <c r="E3" s="124"/>
      <c r="F3" s="130"/>
      <c r="G3" s="124"/>
      <c r="H3" s="124"/>
      <c r="I3" s="126"/>
      <c r="J3" s="127"/>
    </row>
    <row r="4" spans="1:10" x14ac:dyDescent="0.2">
      <c r="A4" s="131">
        <v>45697</v>
      </c>
      <c r="B4" s="123" t="s">
        <v>201</v>
      </c>
      <c r="C4" s="123" t="s">
        <v>137</v>
      </c>
      <c r="D4" s="123" t="s">
        <v>138</v>
      </c>
      <c r="E4" s="123">
        <v>1</v>
      </c>
      <c r="F4" s="129" t="s">
        <v>170</v>
      </c>
      <c r="G4" s="123">
        <v>5</v>
      </c>
      <c r="H4" s="123" t="s">
        <v>171</v>
      </c>
      <c r="I4" s="125" t="s">
        <v>140</v>
      </c>
      <c r="J4" s="123" t="s">
        <v>200</v>
      </c>
    </row>
    <row r="5" spans="1:10" ht="16" thickBot="1" x14ac:dyDescent="0.25">
      <c r="A5" s="124"/>
      <c r="B5" s="132"/>
      <c r="C5" s="124"/>
      <c r="D5" s="124"/>
      <c r="E5" s="124"/>
      <c r="F5" s="130"/>
      <c r="G5" s="124"/>
      <c r="H5" s="124"/>
      <c r="I5" s="126"/>
      <c r="J5" s="127"/>
    </row>
    <row r="7" spans="1:10" x14ac:dyDescent="0.2">
      <c r="A7" s="93" t="s">
        <v>172</v>
      </c>
      <c r="B7" s="117" t="s">
        <v>173</v>
      </c>
      <c r="C7" s="117"/>
      <c r="D7" s="118"/>
    </row>
    <row r="8" spans="1:10" x14ac:dyDescent="0.2">
      <c r="A8" s="94"/>
      <c r="B8" s="119" t="s">
        <v>195</v>
      </c>
      <c r="C8" s="119"/>
      <c r="D8" s="120"/>
    </row>
    <row r="9" spans="1:10" x14ac:dyDescent="0.2">
      <c r="A9" s="94"/>
      <c r="B9" s="119" t="s">
        <v>174</v>
      </c>
      <c r="C9" s="119"/>
      <c r="D9" s="120"/>
    </row>
    <row r="10" spans="1:10" x14ac:dyDescent="0.2">
      <c r="A10" s="95"/>
      <c r="B10" s="121" t="s">
        <v>175</v>
      </c>
      <c r="C10" s="121"/>
      <c r="D10" s="122"/>
    </row>
    <row r="14" spans="1:10" x14ac:dyDescent="0.2">
      <c r="A14" s="114" t="s">
        <v>196</v>
      </c>
      <c r="B14" s="114"/>
      <c r="C14" s="114"/>
    </row>
  </sheetData>
  <mergeCells count="25">
    <mergeCell ref="F4:F5"/>
    <mergeCell ref="A2:A3"/>
    <mergeCell ref="B2:B3"/>
    <mergeCell ref="C2:C3"/>
    <mergeCell ref="D2:D3"/>
    <mergeCell ref="E2:E3"/>
    <mergeCell ref="F2:F3"/>
    <mergeCell ref="A4:A5"/>
    <mergeCell ref="B4:B5"/>
    <mergeCell ref="C4:C5"/>
    <mergeCell ref="D4:D5"/>
    <mergeCell ref="E4:E5"/>
    <mergeCell ref="G4:G5"/>
    <mergeCell ref="H4:H5"/>
    <mergeCell ref="I4:I5"/>
    <mergeCell ref="J4:J5"/>
    <mergeCell ref="G2:G3"/>
    <mergeCell ref="H2:H3"/>
    <mergeCell ref="I2:I3"/>
    <mergeCell ref="J2:J3"/>
    <mergeCell ref="B7:D7"/>
    <mergeCell ref="B8:D8"/>
    <mergeCell ref="B9:D9"/>
    <mergeCell ref="B10:D10"/>
    <mergeCell ref="A14:C14"/>
  </mergeCells>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3"/>
  <sheetViews>
    <sheetView tabSelected="1" zoomScaleNormal="100" workbookViewId="0">
      <pane ySplit="1" topLeftCell="A2" activePane="bottomLeft" state="frozen"/>
      <selection pane="bottomLeft" activeCell="I4" sqref="A1:I4"/>
    </sheetView>
  </sheetViews>
  <sheetFormatPr baseColWidth="10" defaultColWidth="11.5" defaultRowHeight="13" x14ac:dyDescent="0.15"/>
  <cols>
    <col min="1" max="3" width="11.5" style="1"/>
    <col min="4" max="4" width="26.83203125" style="1" customWidth="1"/>
    <col min="5" max="5" width="14.5" style="1" customWidth="1"/>
    <col min="6" max="6" width="14.5" style="88" customWidth="1"/>
    <col min="7" max="7" width="9.5" style="1" bestFit="1" customWidth="1"/>
    <col min="8" max="8" width="13.33203125" style="1" customWidth="1"/>
    <col min="9" max="16384" width="11.5" style="1"/>
  </cols>
  <sheetData>
    <row r="1" spans="1:8" ht="57" thickBot="1" x14ac:dyDescent="0.2">
      <c r="A1" s="2" t="s">
        <v>120</v>
      </c>
      <c r="B1" s="3" t="s">
        <v>117</v>
      </c>
      <c r="C1" s="8" t="s">
        <v>116</v>
      </c>
      <c r="D1" s="7" t="s">
        <v>119</v>
      </c>
      <c r="E1" s="86" t="s">
        <v>115</v>
      </c>
      <c r="F1" s="87" t="s">
        <v>136</v>
      </c>
      <c r="G1" s="15" t="s">
        <v>121</v>
      </c>
      <c r="H1" s="3" t="s">
        <v>125</v>
      </c>
    </row>
    <row r="2" spans="1:8" x14ac:dyDescent="0.15">
      <c r="A2" s="10">
        <v>1</v>
      </c>
      <c r="B2" s="4" t="s">
        <v>0</v>
      </c>
      <c r="C2" s="4" t="s">
        <v>113</v>
      </c>
      <c r="D2" s="4" t="s">
        <v>1</v>
      </c>
      <c r="E2" s="11" t="s">
        <v>118</v>
      </c>
      <c r="F2" s="89"/>
      <c r="G2" s="11"/>
      <c r="H2" s="16">
        <v>1.17</v>
      </c>
    </row>
    <row r="3" spans="1:8" x14ac:dyDescent="0.15">
      <c r="A3" s="12">
        <v>2</v>
      </c>
      <c r="B3" s="5" t="s">
        <v>0</v>
      </c>
      <c r="C3" s="5" t="s">
        <v>113</v>
      </c>
      <c r="D3" s="5" t="s">
        <v>2</v>
      </c>
      <c r="E3" s="9" t="s">
        <v>118</v>
      </c>
      <c r="F3" s="90"/>
      <c r="G3" s="9" t="s">
        <v>122</v>
      </c>
      <c r="H3" s="17">
        <v>2.4900000000000002</v>
      </c>
    </row>
    <row r="4" spans="1:8" x14ac:dyDescent="0.15">
      <c r="A4" s="12">
        <v>3</v>
      </c>
      <c r="B4" s="5" t="s">
        <v>0</v>
      </c>
      <c r="C4" s="5" t="s">
        <v>113</v>
      </c>
      <c r="D4" s="5" t="s">
        <v>3</v>
      </c>
      <c r="E4" s="9" t="s">
        <v>118</v>
      </c>
      <c r="F4" s="90"/>
      <c r="G4" s="9"/>
      <c r="H4" s="17">
        <v>2.69</v>
      </c>
    </row>
    <row r="5" spans="1:8" x14ac:dyDescent="0.15">
      <c r="A5" s="12">
        <v>4</v>
      </c>
      <c r="B5" s="5" t="s">
        <v>0</v>
      </c>
      <c r="C5" s="5" t="s">
        <v>113</v>
      </c>
      <c r="D5" s="5" t="s">
        <v>4</v>
      </c>
      <c r="E5" s="9" t="s">
        <v>118</v>
      </c>
      <c r="F5" s="90"/>
      <c r="G5" s="9"/>
      <c r="H5" s="17" t="s">
        <v>126</v>
      </c>
    </row>
    <row r="6" spans="1:8" x14ac:dyDescent="0.15">
      <c r="A6" s="12">
        <v>5</v>
      </c>
      <c r="B6" s="5" t="s">
        <v>0</v>
      </c>
      <c r="C6" s="5" t="s">
        <v>113</v>
      </c>
      <c r="D6" s="5" t="s">
        <v>5</v>
      </c>
      <c r="E6" s="9" t="s">
        <v>118</v>
      </c>
      <c r="F6" s="90"/>
      <c r="G6" s="9"/>
      <c r="H6" s="17" t="s">
        <v>126</v>
      </c>
    </row>
    <row r="7" spans="1:8" x14ac:dyDescent="0.15">
      <c r="A7" s="12">
        <v>6</v>
      </c>
      <c r="B7" s="5" t="s">
        <v>0</v>
      </c>
      <c r="C7" s="5" t="s">
        <v>113</v>
      </c>
      <c r="D7" s="5" t="s">
        <v>6</v>
      </c>
      <c r="E7" s="9" t="s">
        <v>118</v>
      </c>
      <c r="F7" s="90"/>
      <c r="G7" s="9"/>
      <c r="H7" s="17">
        <v>0.13</v>
      </c>
    </row>
    <row r="8" spans="1:8" x14ac:dyDescent="0.15">
      <c r="A8" s="12">
        <v>7</v>
      </c>
      <c r="B8" s="5" t="s">
        <v>0</v>
      </c>
      <c r="C8" s="5" t="s">
        <v>113</v>
      </c>
      <c r="D8" s="5" t="s">
        <v>7</v>
      </c>
      <c r="E8" s="9" t="s">
        <v>118</v>
      </c>
      <c r="F8" s="91" t="s">
        <v>166</v>
      </c>
      <c r="G8" s="9"/>
      <c r="H8" s="17">
        <v>1.9</v>
      </c>
    </row>
    <row r="9" spans="1:8" x14ac:dyDescent="0.15">
      <c r="A9" s="12">
        <v>8</v>
      </c>
      <c r="B9" s="5" t="s">
        <v>0</v>
      </c>
      <c r="C9" s="5" t="s">
        <v>113</v>
      </c>
      <c r="D9" s="5" t="s">
        <v>8</v>
      </c>
      <c r="E9" s="9" t="s">
        <v>118</v>
      </c>
      <c r="F9" s="91" t="s">
        <v>167</v>
      </c>
      <c r="G9" s="9"/>
      <c r="H9" s="17">
        <v>2.4300000000000002</v>
      </c>
    </row>
    <row r="10" spans="1:8" x14ac:dyDescent="0.15">
      <c r="A10" s="12">
        <v>9</v>
      </c>
      <c r="B10" s="5" t="s">
        <v>0</v>
      </c>
      <c r="C10" s="5" t="s">
        <v>113</v>
      </c>
      <c r="D10" s="5" t="s">
        <v>9</v>
      </c>
      <c r="E10" s="9" t="s">
        <v>118</v>
      </c>
      <c r="F10" s="90"/>
      <c r="G10" s="9"/>
      <c r="H10" s="17">
        <v>2.57</v>
      </c>
    </row>
    <row r="11" spans="1:8" x14ac:dyDescent="0.15">
      <c r="A11" s="12">
        <v>10</v>
      </c>
      <c r="B11" s="5" t="s">
        <v>0</v>
      </c>
      <c r="C11" s="5" t="s">
        <v>113</v>
      </c>
      <c r="D11" s="5" t="s">
        <v>10</v>
      </c>
      <c r="E11" s="9" t="s">
        <v>118</v>
      </c>
      <c r="F11" s="90"/>
      <c r="G11" s="9"/>
      <c r="H11" s="17" t="s">
        <v>126</v>
      </c>
    </row>
    <row r="12" spans="1:8" x14ac:dyDescent="0.15">
      <c r="A12" s="12">
        <v>11</v>
      </c>
      <c r="B12" s="5" t="s">
        <v>0</v>
      </c>
      <c r="C12" s="5" t="s">
        <v>113</v>
      </c>
      <c r="D12" s="5" t="s">
        <v>11</v>
      </c>
      <c r="E12" s="9" t="s">
        <v>118</v>
      </c>
      <c r="F12" s="91" t="s">
        <v>168</v>
      </c>
      <c r="G12" s="9"/>
      <c r="H12" s="17">
        <v>0.84</v>
      </c>
    </row>
    <row r="13" spans="1:8" x14ac:dyDescent="0.15">
      <c r="A13" s="12">
        <v>12</v>
      </c>
      <c r="B13" s="5" t="s">
        <v>0</v>
      </c>
      <c r="C13" s="5" t="s">
        <v>113</v>
      </c>
      <c r="D13" s="5" t="s">
        <v>12</v>
      </c>
      <c r="E13" s="9" t="s">
        <v>118</v>
      </c>
      <c r="F13" s="90"/>
      <c r="G13" s="9"/>
      <c r="H13" s="17">
        <v>0.98</v>
      </c>
    </row>
    <row r="14" spans="1:8" x14ac:dyDescent="0.15">
      <c r="A14" s="12">
        <v>13</v>
      </c>
      <c r="B14" s="5" t="s">
        <v>0</v>
      </c>
      <c r="C14" s="5" t="s">
        <v>113</v>
      </c>
      <c r="D14" s="5" t="s">
        <v>13</v>
      </c>
      <c r="E14" s="9" t="s">
        <v>118</v>
      </c>
      <c r="F14" s="91" t="s">
        <v>166</v>
      </c>
      <c r="G14" s="9"/>
      <c r="H14" s="17">
        <v>1.23</v>
      </c>
    </row>
    <row r="15" spans="1:8" x14ac:dyDescent="0.15">
      <c r="A15" s="12">
        <v>14</v>
      </c>
      <c r="B15" s="5" t="s">
        <v>0</v>
      </c>
      <c r="C15" s="5" t="s">
        <v>113</v>
      </c>
      <c r="D15" s="5" t="s">
        <v>14</v>
      </c>
      <c r="E15" s="9" t="s">
        <v>118</v>
      </c>
      <c r="F15" s="90"/>
      <c r="G15" s="9" t="s">
        <v>123</v>
      </c>
      <c r="H15" s="17" t="s">
        <v>126</v>
      </c>
    </row>
    <row r="16" spans="1:8" x14ac:dyDescent="0.15">
      <c r="A16" s="12">
        <v>15</v>
      </c>
      <c r="B16" s="5" t="s">
        <v>0</v>
      </c>
      <c r="C16" s="5" t="s">
        <v>113</v>
      </c>
      <c r="D16" s="5" t="s">
        <v>15</v>
      </c>
      <c r="E16" s="9" t="s">
        <v>118</v>
      </c>
      <c r="F16" s="90"/>
      <c r="G16" s="9"/>
      <c r="H16" s="17">
        <v>0.85</v>
      </c>
    </row>
    <row r="17" spans="1:8" x14ac:dyDescent="0.15">
      <c r="A17" s="12">
        <v>16</v>
      </c>
      <c r="B17" s="5" t="s">
        <v>0</v>
      </c>
      <c r="C17" s="5" t="s">
        <v>113</v>
      </c>
      <c r="D17" s="5" t="s">
        <v>16</v>
      </c>
      <c r="E17" s="9" t="s">
        <v>118</v>
      </c>
      <c r="F17" s="90"/>
      <c r="G17" s="9" t="s">
        <v>123</v>
      </c>
      <c r="H17" s="17">
        <v>1.25</v>
      </c>
    </row>
    <row r="18" spans="1:8" x14ac:dyDescent="0.15">
      <c r="A18" s="12">
        <v>17</v>
      </c>
      <c r="B18" s="5" t="s">
        <v>0</v>
      </c>
      <c r="C18" s="5" t="s">
        <v>113</v>
      </c>
      <c r="D18" s="5" t="s">
        <v>17</v>
      </c>
      <c r="E18" s="9" t="s">
        <v>118</v>
      </c>
      <c r="F18" s="90"/>
      <c r="G18" s="9"/>
      <c r="H18" s="17">
        <v>1.65</v>
      </c>
    </row>
    <row r="19" spans="1:8" x14ac:dyDescent="0.15">
      <c r="A19" s="12">
        <v>18</v>
      </c>
      <c r="B19" s="5" t="s">
        <v>0</v>
      </c>
      <c r="C19" s="5" t="s">
        <v>113</v>
      </c>
      <c r="D19" s="5" t="s">
        <v>18</v>
      </c>
      <c r="E19" s="9" t="s">
        <v>118</v>
      </c>
      <c r="F19" s="90"/>
      <c r="G19" s="9"/>
      <c r="H19" s="17">
        <v>1.1200000000000001</v>
      </c>
    </row>
    <row r="20" spans="1:8" x14ac:dyDescent="0.15">
      <c r="A20" s="12">
        <v>19</v>
      </c>
      <c r="B20" s="5" t="s">
        <v>0</v>
      </c>
      <c r="C20" s="5" t="s">
        <v>113</v>
      </c>
      <c r="D20" s="5" t="s">
        <v>19</v>
      </c>
      <c r="E20" s="9" t="s">
        <v>118</v>
      </c>
      <c r="F20" s="90"/>
      <c r="G20" s="9" t="s">
        <v>123</v>
      </c>
      <c r="H20" s="17" t="s">
        <v>126</v>
      </c>
    </row>
    <row r="21" spans="1:8" x14ac:dyDescent="0.15">
      <c r="A21" s="12">
        <v>20</v>
      </c>
      <c r="B21" s="5" t="s">
        <v>0</v>
      </c>
      <c r="C21" s="5" t="s">
        <v>113</v>
      </c>
      <c r="D21" s="5" t="s">
        <v>20</v>
      </c>
      <c r="E21" s="9" t="s">
        <v>118</v>
      </c>
      <c r="F21" s="90"/>
      <c r="G21" s="9"/>
      <c r="H21" s="17" t="s">
        <v>126</v>
      </c>
    </row>
    <row r="22" spans="1:8" x14ac:dyDescent="0.15">
      <c r="A22" s="12">
        <v>21</v>
      </c>
      <c r="B22" s="5" t="s">
        <v>0</v>
      </c>
      <c r="C22" s="5" t="s">
        <v>113</v>
      </c>
      <c r="D22" s="5" t="s">
        <v>21</v>
      </c>
      <c r="E22" s="9" t="s">
        <v>118</v>
      </c>
      <c r="F22" s="91" t="s">
        <v>166</v>
      </c>
      <c r="G22" s="9"/>
      <c r="H22" s="17">
        <v>2.2599999999999998</v>
      </c>
    </row>
    <row r="23" spans="1:8" x14ac:dyDescent="0.15">
      <c r="A23" s="12">
        <v>22</v>
      </c>
      <c r="B23" s="5" t="s">
        <v>0</v>
      </c>
      <c r="C23" s="5" t="s">
        <v>113</v>
      </c>
      <c r="D23" s="5" t="s">
        <v>22</v>
      </c>
      <c r="E23" s="9" t="s">
        <v>118</v>
      </c>
      <c r="F23" s="90"/>
      <c r="G23" s="9"/>
      <c r="H23" s="17">
        <v>1.95</v>
      </c>
    </row>
    <row r="24" spans="1:8" x14ac:dyDescent="0.15">
      <c r="A24" s="12">
        <v>23</v>
      </c>
      <c r="B24" s="5" t="s">
        <v>0</v>
      </c>
      <c r="C24" s="5" t="s">
        <v>113</v>
      </c>
      <c r="D24" s="5" t="s">
        <v>23</v>
      </c>
      <c r="E24" s="9" t="s">
        <v>118</v>
      </c>
      <c r="F24" s="90"/>
      <c r="G24" s="9"/>
      <c r="H24" s="17">
        <v>0.28000000000000003</v>
      </c>
    </row>
    <row r="25" spans="1:8" x14ac:dyDescent="0.15">
      <c r="A25" s="12">
        <v>24</v>
      </c>
      <c r="B25" s="5" t="s">
        <v>0</v>
      </c>
      <c r="C25" s="5" t="s">
        <v>113</v>
      </c>
      <c r="D25" s="5" t="s">
        <v>24</v>
      </c>
      <c r="E25" s="9" t="s">
        <v>118</v>
      </c>
      <c r="F25" s="90"/>
      <c r="G25" s="9"/>
      <c r="H25" s="17">
        <v>1.19</v>
      </c>
    </row>
    <row r="26" spans="1:8" x14ac:dyDescent="0.15">
      <c r="A26" s="12">
        <v>25</v>
      </c>
      <c r="B26" s="5" t="s">
        <v>0</v>
      </c>
      <c r="C26" s="5" t="s">
        <v>113</v>
      </c>
      <c r="D26" s="5" t="s">
        <v>25</v>
      </c>
      <c r="E26" s="9" t="s">
        <v>118</v>
      </c>
      <c r="F26" s="90"/>
      <c r="G26" s="9" t="s">
        <v>123</v>
      </c>
      <c r="H26" s="17">
        <v>2.85</v>
      </c>
    </row>
    <row r="27" spans="1:8" x14ac:dyDescent="0.15">
      <c r="A27" s="12">
        <v>26</v>
      </c>
      <c r="B27" s="5" t="s">
        <v>0</v>
      </c>
      <c r="C27" s="5" t="s">
        <v>113</v>
      </c>
      <c r="D27" s="5" t="s">
        <v>26</v>
      </c>
      <c r="E27" s="9" t="s">
        <v>118</v>
      </c>
      <c r="F27" s="90"/>
      <c r="G27" s="9"/>
      <c r="H27" s="17">
        <v>1.84</v>
      </c>
    </row>
    <row r="28" spans="1:8" x14ac:dyDescent="0.15">
      <c r="A28" s="12">
        <v>27</v>
      </c>
      <c r="B28" s="5" t="s">
        <v>0</v>
      </c>
      <c r="C28" s="5" t="s">
        <v>113</v>
      </c>
      <c r="D28" s="5" t="s">
        <v>27</v>
      </c>
      <c r="E28" s="9" t="s">
        <v>118</v>
      </c>
      <c r="F28" s="90"/>
      <c r="G28" s="9" t="s">
        <v>124</v>
      </c>
      <c r="H28" s="17">
        <v>2.0499999999999998</v>
      </c>
    </row>
    <row r="29" spans="1:8" x14ac:dyDescent="0.15">
      <c r="A29" s="12">
        <v>28</v>
      </c>
      <c r="B29" s="5" t="s">
        <v>0</v>
      </c>
      <c r="C29" s="5" t="s">
        <v>113</v>
      </c>
      <c r="D29" s="5" t="s">
        <v>28</v>
      </c>
      <c r="E29" s="9" t="s">
        <v>118</v>
      </c>
      <c r="F29" s="90"/>
      <c r="G29" s="9"/>
      <c r="H29" s="17">
        <v>0.89</v>
      </c>
    </row>
    <row r="30" spans="1:8" x14ac:dyDescent="0.15">
      <c r="A30" s="12">
        <v>29</v>
      </c>
      <c r="B30" s="5" t="s">
        <v>0</v>
      </c>
      <c r="C30" s="5" t="s">
        <v>113</v>
      </c>
      <c r="D30" s="5" t="s">
        <v>29</v>
      </c>
      <c r="E30" s="9" t="s">
        <v>118</v>
      </c>
      <c r="F30" s="90"/>
      <c r="G30" s="9"/>
      <c r="H30" s="17">
        <v>0.59</v>
      </c>
    </row>
    <row r="31" spans="1:8" x14ac:dyDescent="0.15">
      <c r="A31" s="12">
        <v>30</v>
      </c>
      <c r="B31" s="5" t="s">
        <v>0</v>
      </c>
      <c r="C31" s="5" t="s">
        <v>113</v>
      </c>
      <c r="D31" s="5" t="s">
        <v>30</v>
      </c>
      <c r="E31" s="9" t="s">
        <v>118</v>
      </c>
      <c r="F31" s="90"/>
      <c r="G31" s="9"/>
      <c r="H31" s="17">
        <v>0.88</v>
      </c>
    </row>
    <row r="32" spans="1:8" x14ac:dyDescent="0.15">
      <c r="A32" s="12">
        <v>31</v>
      </c>
      <c r="B32" s="5" t="s">
        <v>0</v>
      </c>
      <c r="C32" s="5" t="s">
        <v>113</v>
      </c>
      <c r="D32" s="5" t="s">
        <v>31</v>
      </c>
      <c r="E32" s="9" t="s">
        <v>118</v>
      </c>
      <c r="F32" s="90"/>
      <c r="G32" s="9"/>
      <c r="H32" s="17" t="s">
        <v>126</v>
      </c>
    </row>
    <row r="33" spans="1:8" x14ac:dyDescent="0.15">
      <c r="A33" s="12">
        <v>32</v>
      </c>
      <c r="B33" s="5" t="s">
        <v>0</v>
      </c>
      <c r="C33" s="5" t="s">
        <v>113</v>
      </c>
      <c r="D33" s="5" t="s">
        <v>32</v>
      </c>
      <c r="E33" s="9" t="s">
        <v>118</v>
      </c>
      <c r="F33" s="90"/>
      <c r="G33" s="9" t="s">
        <v>123</v>
      </c>
      <c r="H33" s="17" t="s">
        <v>126</v>
      </c>
    </row>
    <row r="34" spans="1:8" x14ac:dyDescent="0.15">
      <c r="A34" s="12">
        <v>33</v>
      </c>
      <c r="B34" s="5" t="s">
        <v>0</v>
      </c>
      <c r="C34" s="5" t="s">
        <v>113</v>
      </c>
      <c r="D34" s="5" t="s">
        <v>33</v>
      </c>
      <c r="E34" s="9" t="s">
        <v>118</v>
      </c>
      <c r="F34" s="90"/>
      <c r="G34" s="9"/>
      <c r="H34" s="17">
        <v>0.24</v>
      </c>
    </row>
    <row r="35" spans="1:8" x14ac:dyDescent="0.15">
      <c r="A35" s="12">
        <v>34</v>
      </c>
      <c r="B35" s="5" t="s">
        <v>0</v>
      </c>
      <c r="C35" s="5" t="s">
        <v>113</v>
      </c>
      <c r="D35" s="5" t="s">
        <v>34</v>
      </c>
      <c r="E35" s="9" t="s">
        <v>118</v>
      </c>
      <c r="F35" s="90"/>
      <c r="G35" s="9"/>
      <c r="H35" s="17">
        <v>0.4</v>
      </c>
    </row>
    <row r="36" spans="1:8" x14ac:dyDescent="0.15">
      <c r="A36" s="12">
        <v>35</v>
      </c>
      <c r="B36" s="5" t="s">
        <v>0</v>
      </c>
      <c r="C36" s="5" t="s">
        <v>113</v>
      </c>
      <c r="D36" s="5" t="s">
        <v>35</v>
      </c>
      <c r="E36" s="9" t="s">
        <v>118</v>
      </c>
      <c r="F36" s="90"/>
      <c r="G36" s="9" t="s">
        <v>123</v>
      </c>
      <c r="H36" s="17" t="s">
        <v>126</v>
      </c>
    </row>
    <row r="37" spans="1:8" x14ac:dyDescent="0.15">
      <c r="A37" s="12">
        <v>36</v>
      </c>
      <c r="B37" s="5" t="s">
        <v>0</v>
      </c>
      <c r="C37" s="5" t="s">
        <v>113</v>
      </c>
      <c r="D37" s="5" t="s">
        <v>36</v>
      </c>
      <c r="E37" s="9" t="s">
        <v>118</v>
      </c>
      <c r="F37" s="90"/>
      <c r="G37" s="9"/>
      <c r="H37" s="17">
        <v>0.7</v>
      </c>
    </row>
    <row r="38" spans="1:8" x14ac:dyDescent="0.15">
      <c r="A38" s="12">
        <v>37</v>
      </c>
      <c r="B38" s="5" t="s">
        <v>0</v>
      </c>
      <c r="C38" s="5" t="s">
        <v>113</v>
      </c>
      <c r="D38" s="5" t="s">
        <v>37</v>
      </c>
      <c r="E38" s="9" t="s">
        <v>118</v>
      </c>
      <c r="F38" s="90"/>
      <c r="G38" s="9"/>
      <c r="H38" s="17">
        <v>0.71</v>
      </c>
    </row>
    <row r="39" spans="1:8" x14ac:dyDescent="0.15">
      <c r="A39" s="12">
        <v>38</v>
      </c>
      <c r="B39" s="5" t="s">
        <v>0</v>
      </c>
      <c r="C39" s="5" t="s">
        <v>113</v>
      </c>
      <c r="D39" s="5" t="s">
        <v>38</v>
      </c>
      <c r="E39" s="9" t="s">
        <v>118</v>
      </c>
      <c r="F39" s="90"/>
      <c r="G39" s="9"/>
      <c r="H39" s="17" t="s">
        <v>126</v>
      </c>
    </row>
    <row r="40" spans="1:8" x14ac:dyDescent="0.15">
      <c r="A40" s="12">
        <v>39</v>
      </c>
      <c r="B40" s="5" t="s">
        <v>0</v>
      </c>
      <c r="C40" s="5" t="s">
        <v>113</v>
      </c>
      <c r="D40" s="5" t="s">
        <v>39</v>
      </c>
      <c r="E40" s="9" t="s">
        <v>118</v>
      </c>
      <c r="F40" s="90"/>
      <c r="G40" s="9"/>
      <c r="H40" s="17">
        <v>1.07</v>
      </c>
    </row>
    <row r="41" spans="1:8" x14ac:dyDescent="0.15">
      <c r="A41" s="12">
        <v>40</v>
      </c>
      <c r="B41" s="5" t="s">
        <v>0</v>
      </c>
      <c r="C41" s="5" t="s">
        <v>113</v>
      </c>
      <c r="D41" s="5" t="s">
        <v>40</v>
      </c>
      <c r="E41" s="9" t="s">
        <v>118</v>
      </c>
      <c r="F41" s="90"/>
      <c r="G41" s="9" t="s">
        <v>122</v>
      </c>
      <c r="H41" s="17">
        <v>3.14</v>
      </c>
    </row>
    <row r="42" spans="1:8" x14ac:dyDescent="0.15">
      <c r="A42" s="12">
        <v>41</v>
      </c>
      <c r="B42" s="5" t="s">
        <v>0</v>
      </c>
      <c r="C42" s="5" t="s">
        <v>113</v>
      </c>
      <c r="D42" s="5" t="s">
        <v>41</v>
      </c>
      <c r="E42" s="9" t="s">
        <v>118</v>
      </c>
      <c r="F42" s="90"/>
      <c r="G42" s="9" t="s">
        <v>123</v>
      </c>
      <c r="H42" s="17" t="s">
        <v>126</v>
      </c>
    </row>
    <row r="43" spans="1:8" x14ac:dyDescent="0.15">
      <c r="A43" s="12">
        <v>42</v>
      </c>
      <c r="B43" s="5" t="s">
        <v>0</v>
      </c>
      <c r="C43" s="5" t="s">
        <v>113</v>
      </c>
      <c r="D43" s="5" t="s">
        <v>42</v>
      </c>
      <c r="E43" s="9" t="s">
        <v>118</v>
      </c>
      <c r="F43" s="90"/>
      <c r="G43" s="9"/>
      <c r="H43" s="17" t="s">
        <v>126</v>
      </c>
    </row>
    <row r="44" spans="1:8" x14ac:dyDescent="0.15">
      <c r="A44" s="12">
        <v>43</v>
      </c>
      <c r="B44" s="5" t="s">
        <v>0</v>
      </c>
      <c r="C44" s="5" t="s">
        <v>113</v>
      </c>
      <c r="D44" s="5" t="s">
        <v>43</v>
      </c>
      <c r="E44" s="9" t="s">
        <v>118</v>
      </c>
      <c r="F44" s="90"/>
      <c r="G44" s="9"/>
      <c r="H44" s="17">
        <v>1.28</v>
      </c>
    </row>
    <row r="45" spans="1:8" x14ac:dyDescent="0.15">
      <c r="A45" s="12">
        <v>44</v>
      </c>
      <c r="B45" s="5" t="s">
        <v>0</v>
      </c>
      <c r="C45" s="5" t="s">
        <v>113</v>
      </c>
      <c r="D45" s="5" t="s">
        <v>44</v>
      </c>
      <c r="E45" s="9" t="s">
        <v>118</v>
      </c>
      <c r="F45" s="90"/>
      <c r="G45" s="9" t="s">
        <v>123</v>
      </c>
      <c r="H45" s="17">
        <v>1.21</v>
      </c>
    </row>
    <row r="46" spans="1:8" x14ac:dyDescent="0.15">
      <c r="A46" s="12">
        <v>45</v>
      </c>
      <c r="B46" s="5" t="s">
        <v>0</v>
      </c>
      <c r="C46" s="5" t="s">
        <v>113</v>
      </c>
      <c r="D46" s="5" t="s">
        <v>45</v>
      </c>
      <c r="E46" s="9" t="s">
        <v>118</v>
      </c>
      <c r="F46" s="90"/>
      <c r="G46" s="9"/>
      <c r="H46" s="17">
        <v>0.42</v>
      </c>
    </row>
    <row r="47" spans="1:8" x14ac:dyDescent="0.15">
      <c r="A47" s="12">
        <v>46</v>
      </c>
      <c r="B47" s="5" t="s">
        <v>0</v>
      </c>
      <c r="C47" s="5" t="s">
        <v>113</v>
      </c>
      <c r="D47" s="5" t="s">
        <v>46</v>
      </c>
      <c r="E47" s="9" t="s">
        <v>118</v>
      </c>
      <c r="F47" s="90"/>
      <c r="G47" s="9"/>
      <c r="H47" s="17">
        <v>0.83</v>
      </c>
    </row>
    <row r="48" spans="1:8" x14ac:dyDescent="0.15">
      <c r="A48" s="12">
        <v>47</v>
      </c>
      <c r="B48" s="5" t="s">
        <v>0</v>
      </c>
      <c r="C48" s="5" t="s">
        <v>113</v>
      </c>
      <c r="D48" s="5" t="s">
        <v>47</v>
      </c>
      <c r="E48" s="9" t="s">
        <v>118</v>
      </c>
      <c r="F48" s="90"/>
      <c r="G48" s="9"/>
      <c r="H48" s="17">
        <v>0.28999999999999998</v>
      </c>
    </row>
    <row r="49" spans="1:8" x14ac:dyDescent="0.15">
      <c r="A49" s="12">
        <v>48</v>
      </c>
      <c r="B49" s="5" t="s">
        <v>0</v>
      </c>
      <c r="C49" s="5" t="s">
        <v>113</v>
      </c>
      <c r="D49" s="5" t="s">
        <v>48</v>
      </c>
      <c r="E49" s="9" t="s">
        <v>118</v>
      </c>
      <c r="F49" s="90"/>
      <c r="G49" s="9" t="s">
        <v>122</v>
      </c>
      <c r="H49" s="17" t="s">
        <v>126</v>
      </c>
    </row>
    <row r="50" spans="1:8" x14ac:dyDescent="0.15">
      <c r="A50" s="12">
        <v>49</v>
      </c>
      <c r="B50" s="5" t="s">
        <v>0</v>
      </c>
      <c r="C50" s="5" t="s">
        <v>113</v>
      </c>
      <c r="D50" s="5" t="s">
        <v>49</v>
      </c>
      <c r="E50" s="9" t="s">
        <v>118</v>
      </c>
      <c r="F50" s="90"/>
      <c r="G50" s="9"/>
      <c r="H50" s="17" t="s">
        <v>126</v>
      </c>
    </row>
    <row r="51" spans="1:8" x14ac:dyDescent="0.15">
      <c r="A51" s="12">
        <v>50</v>
      </c>
      <c r="B51" s="5" t="s">
        <v>0</v>
      </c>
      <c r="C51" s="5" t="s">
        <v>113</v>
      </c>
      <c r="D51" s="5" t="s">
        <v>50</v>
      </c>
      <c r="E51" s="9" t="s">
        <v>118</v>
      </c>
      <c r="F51" s="90"/>
      <c r="G51" s="9" t="s">
        <v>123</v>
      </c>
      <c r="H51" s="17" t="s">
        <v>126</v>
      </c>
    </row>
    <row r="52" spans="1:8" x14ac:dyDescent="0.15">
      <c r="A52" s="12">
        <v>51</v>
      </c>
      <c r="B52" s="5" t="s">
        <v>0</v>
      </c>
      <c r="C52" s="5" t="s">
        <v>113</v>
      </c>
      <c r="D52" s="5" t="s">
        <v>51</v>
      </c>
      <c r="E52" s="9" t="s">
        <v>118</v>
      </c>
      <c r="F52" s="90"/>
      <c r="G52" s="9"/>
      <c r="H52" s="17">
        <v>0.74</v>
      </c>
    </row>
    <row r="53" spans="1:8" x14ac:dyDescent="0.15">
      <c r="A53" s="12">
        <v>52</v>
      </c>
      <c r="B53" s="5" t="s">
        <v>0</v>
      </c>
      <c r="C53" s="5" t="s">
        <v>113</v>
      </c>
      <c r="D53" s="5" t="s">
        <v>52</v>
      </c>
      <c r="E53" s="9" t="s">
        <v>118</v>
      </c>
      <c r="F53" s="90"/>
      <c r="G53" s="9"/>
      <c r="H53" s="17">
        <v>0.77</v>
      </c>
    </row>
    <row r="54" spans="1:8" x14ac:dyDescent="0.15">
      <c r="A54" s="12">
        <v>53</v>
      </c>
      <c r="B54" s="5" t="s">
        <v>0</v>
      </c>
      <c r="C54" s="5" t="s">
        <v>113</v>
      </c>
      <c r="D54" s="5" t="s">
        <v>53</v>
      </c>
      <c r="E54" s="9" t="s">
        <v>118</v>
      </c>
      <c r="F54" s="90"/>
      <c r="G54" s="9" t="s">
        <v>124</v>
      </c>
      <c r="H54" s="17">
        <v>0.44</v>
      </c>
    </row>
    <row r="55" spans="1:8" x14ac:dyDescent="0.15">
      <c r="A55" s="12">
        <v>54</v>
      </c>
      <c r="B55" s="5" t="s">
        <v>0</v>
      </c>
      <c r="C55" s="5" t="s">
        <v>113</v>
      </c>
      <c r="D55" s="5" t="s">
        <v>54</v>
      </c>
      <c r="E55" s="9" t="s">
        <v>118</v>
      </c>
      <c r="F55" s="90"/>
      <c r="G55" s="9"/>
      <c r="H55" s="17">
        <v>1.17</v>
      </c>
    </row>
    <row r="56" spans="1:8" x14ac:dyDescent="0.15">
      <c r="A56" s="12">
        <v>55</v>
      </c>
      <c r="B56" s="5" t="s">
        <v>0</v>
      </c>
      <c r="C56" s="5" t="s">
        <v>113</v>
      </c>
      <c r="D56" s="5" t="s">
        <v>55</v>
      </c>
      <c r="E56" s="9" t="s">
        <v>118</v>
      </c>
      <c r="F56" s="90"/>
      <c r="G56" s="9" t="s">
        <v>123</v>
      </c>
      <c r="H56" s="17">
        <v>0.55000000000000004</v>
      </c>
    </row>
    <row r="57" spans="1:8" x14ac:dyDescent="0.15">
      <c r="A57" s="12">
        <v>56</v>
      </c>
      <c r="B57" s="5" t="s">
        <v>0</v>
      </c>
      <c r="C57" s="5" t="s">
        <v>113</v>
      </c>
      <c r="D57" s="5" t="s">
        <v>56</v>
      </c>
      <c r="E57" s="9" t="s">
        <v>118</v>
      </c>
      <c r="F57" s="90"/>
      <c r="G57" s="9"/>
      <c r="H57" s="17">
        <v>0.41</v>
      </c>
    </row>
    <row r="58" spans="1:8" x14ac:dyDescent="0.15">
      <c r="A58" s="12">
        <v>57</v>
      </c>
      <c r="B58" s="5" t="s">
        <v>0</v>
      </c>
      <c r="C58" s="5" t="s">
        <v>113</v>
      </c>
      <c r="D58" s="5" t="s">
        <v>57</v>
      </c>
      <c r="E58" s="9" t="s">
        <v>118</v>
      </c>
      <c r="F58" s="90"/>
      <c r="G58" s="9"/>
      <c r="H58" s="17">
        <v>0.85</v>
      </c>
    </row>
    <row r="59" spans="1:8" x14ac:dyDescent="0.15">
      <c r="A59" s="12">
        <v>58</v>
      </c>
      <c r="B59" s="5" t="s">
        <v>0</v>
      </c>
      <c r="C59" s="5" t="s">
        <v>113</v>
      </c>
      <c r="D59" s="5" t="s">
        <v>58</v>
      </c>
      <c r="E59" s="9" t="s">
        <v>118</v>
      </c>
      <c r="F59" s="90"/>
      <c r="G59" s="9" t="s">
        <v>123</v>
      </c>
      <c r="H59" s="17">
        <v>2.41</v>
      </c>
    </row>
    <row r="60" spans="1:8" x14ac:dyDescent="0.15">
      <c r="A60" s="12">
        <v>59</v>
      </c>
      <c r="B60" s="5" t="s">
        <v>0</v>
      </c>
      <c r="C60" s="5" t="s">
        <v>113</v>
      </c>
      <c r="D60" s="5" t="s">
        <v>59</v>
      </c>
      <c r="E60" s="9" t="s">
        <v>118</v>
      </c>
      <c r="F60" s="90"/>
      <c r="G60" s="9"/>
      <c r="H60" s="17">
        <v>0.27</v>
      </c>
    </row>
    <row r="61" spans="1:8" x14ac:dyDescent="0.15">
      <c r="A61" s="12">
        <v>60</v>
      </c>
      <c r="B61" s="5" t="s">
        <v>0</v>
      </c>
      <c r="C61" s="5" t="s">
        <v>113</v>
      </c>
      <c r="D61" s="5" t="s">
        <v>60</v>
      </c>
      <c r="E61" s="9" t="s">
        <v>118</v>
      </c>
      <c r="F61" s="90"/>
      <c r="G61" s="9"/>
      <c r="H61" s="17">
        <v>0.17</v>
      </c>
    </row>
    <row r="62" spans="1:8" x14ac:dyDescent="0.15">
      <c r="A62" s="12">
        <v>61</v>
      </c>
      <c r="B62" s="5" t="s">
        <v>0</v>
      </c>
      <c r="C62" s="5" t="s">
        <v>113</v>
      </c>
      <c r="D62" s="5" t="s">
        <v>61</v>
      </c>
      <c r="E62" s="9" t="s">
        <v>118</v>
      </c>
      <c r="F62" s="90"/>
      <c r="G62" s="9" t="s">
        <v>123</v>
      </c>
      <c r="H62" s="17">
        <v>0.85</v>
      </c>
    </row>
    <row r="63" spans="1:8" x14ac:dyDescent="0.15">
      <c r="A63" s="12">
        <v>62</v>
      </c>
      <c r="B63" s="5" t="s">
        <v>0</v>
      </c>
      <c r="C63" s="5" t="s">
        <v>113</v>
      </c>
      <c r="D63" s="5" t="s">
        <v>62</v>
      </c>
      <c r="E63" s="9" t="s">
        <v>118</v>
      </c>
      <c r="F63" s="90"/>
      <c r="G63" s="9"/>
      <c r="H63" s="17">
        <v>1.66</v>
      </c>
    </row>
    <row r="64" spans="1:8" x14ac:dyDescent="0.15">
      <c r="A64" s="12">
        <v>63</v>
      </c>
      <c r="B64" s="5" t="s">
        <v>0</v>
      </c>
      <c r="C64" s="5" t="s">
        <v>113</v>
      </c>
      <c r="D64" s="5" t="s">
        <v>63</v>
      </c>
      <c r="E64" s="9" t="s">
        <v>118</v>
      </c>
      <c r="F64" s="90"/>
      <c r="G64" s="9"/>
      <c r="H64" s="17" t="s">
        <v>126</v>
      </c>
    </row>
    <row r="65" spans="1:8" x14ac:dyDescent="0.15">
      <c r="A65" s="12">
        <v>64</v>
      </c>
      <c r="B65" s="5" t="s">
        <v>0</v>
      </c>
      <c r="C65" s="5" t="s">
        <v>113</v>
      </c>
      <c r="D65" s="5" t="s">
        <v>64</v>
      </c>
      <c r="E65" s="9" t="s">
        <v>118</v>
      </c>
      <c r="F65" s="90"/>
      <c r="G65" s="9" t="s">
        <v>123</v>
      </c>
      <c r="H65" s="17">
        <v>0.28000000000000003</v>
      </c>
    </row>
    <row r="66" spans="1:8" x14ac:dyDescent="0.15">
      <c r="A66" s="12">
        <v>65</v>
      </c>
      <c r="B66" s="5" t="s">
        <v>0</v>
      </c>
      <c r="C66" s="5" t="s">
        <v>113</v>
      </c>
      <c r="D66" s="5" t="s">
        <v>65</v>
      </c>
      <c r="E66" s="9" t="s">
        <v>118</v>
      </c>
      <c r="F66" s="90"/>
      <c r="G66" s="9" t="s">
        <v>123</v>
      </c>
      <c r="H66" s="17">
        <v>1.07</v>
      </c>
    </row>
    <row r="67" spans="1:8" x14ac:dyDescent="0.15">
      <c r="A67" s="12">
        <v>66</v>
      </c>
      <c r="B67" s="5" t="s">
        <v>0</v>
      </c>
      <c r="C67" s="5" t="s">
        <v>113</v>
      </c>
      <c r="D67" s="5" t="s">
        <v>66</v>
      </c>
      <c r="E67" s="9" t="s">
        <v>118</v>
      </c>
      <c r="F67" s="90"/>
      <c r="G67" s="9"/>
      <c r="H67" s="17">
        <v>0.91</v>
      </c>
    </row>
    <row r="68" spans="1:8" x14ac:dyDescent="0.15">
      <c r="A68" s="12">
        <v>67</v>
      </c>
      <c r="B68" s="5" t="s">
        <v>0</v>
      </c>
      <c r="C68" s="5" t="s">
        <v>113</v>
      </c>
      <c r="D68" s="5" t="s">
        <v>67</v>
      </c>
      <c r="E68" s="9" t="s">
        <v>118</v>
      </c>
      <c r="F68" s="90"/>
      <c r="G68" s="9"/>
      <c r="H68" s="17">
        <v>2.95</v>
      </c>
    </row>
    <row r="69" spans="1:8" x14ac:dyDescent="0.15">
      <c r="A69" s="12">
        <v>68</v>
      </c>
      <c r="B69" s="5" t="s">
        <v>0</v>
      </c>
      <c r="C69" s="5" t="s">
        <v>113</v>
      </c>
      <c r="D69" s="5" t="s">
        <v>68</v>
      </c>
      <c r="E69" s="9" t="s">
        <v>118</v>
      </c>
      <c r="F69" s="90"/>
      <c r="G69" s="9"/>
      <c r="H69" s="17">
        <v>2.81</v>
      </c>
    </row>
    <row r="70" spans="1:8" x14ac:dyDescent="0.15">
      <c r="A70" s="12">
        <v>69</v>
      </c>
      <c r="B70" s="5" t="s">
        <v>0</v>
      </c>
      <c r="C70" s="5" t="s">
        <v>113</v>
      </c>
      <c r="D70" s="5" t="s">
        <v>69</v>
      </c>
      <c r="E70" s="9" t="s">
        <v>118</v>
      </c>
      <c r="F70" s="90"/>
      <c r="G70" s="9"/>
      <c r="H70" s="17">
        <v>1.67</v>
      </c>
    </row>
    <row r="71" spans="1:8" x14ac:dyDescent="0.15">
      <c r="A71" s="12">
        <v>70</v>
      </c>
      <c r="B71" s="5" t="s">
        <v>0</v>
      </c>
      <c r="C71" s="5" t="s">
        <v>113</v>
      </c>
      <c r="D71" s="5" t="s">
        <v>70</v>
      </c>
      <c r="E71" s="9" t="s">
        <v>118</v>
      </c>
      <c r="F71" s="90"/>
      <c r="G71" s="9"/>
      <c r="H71" s="17">
        <v>0.66</v>
      </c>
    </row>
    <row r="72" spans="1:8" x14ac:dyDescent="0.15">
      <c r="A72" s="12">
        <v>71</v>
      </c>
      <c r="B72" s="5" t="s">
        <v>0</v>
      </c>
      <c r="C72" s="5" t="s">
        <v>113</v>
      </c>
      <c r="D72" s="5" t="s">
        <v>71</v>
      </c>
      <c r="E72" s="9" t="s">
        <v>118</v>
      </c>
      <c r="F72" s="90"/>
      <c r="G72" s="9"/>
      <c r="H72" s="17" t="s">
        <v>126</v>
      </c>
    </row>
    <row r="73" spans="1:8" x14ac:dyDescent="0.15">
      <c r="A73" s="12">
        <v>72</v>
      </c>
      <c r="B73" s="5" t="s">
        <v>0</v>
      </c>
      <c r="C73" s="5" t="s">
        <v>113</v>
      </c>
      <c r="D73" s="5" t="s">
        <v>72</v>
      </c>
      <c r="E73" s="9" t="s">
        <v>118</v>
      </c>
      <c r="F73" s="90"/>
      <c r="G73" s="9"/>
      <c r="H73" s="17" t="s">
        <v>126</v>
      </c>
    </row>
    <row r="74" spans="1:8" x14ac:dyDescent="0.15">
      <c r="A74" s="12">
        <v>73</v>
      </c>
      <c r="B74" s="5" t="s">
        <v>0</v>
      </c>
      <c r="C74" s="5" t="s">
        <v>113</v>
      </c>
      <c r="D74" s="5" t="s">
        <v>73</v>
      </c>
      <c r="E74" s="9" t="s">
        <v>118</v>
      </c>
      <c r="F74" s="90"/>
      <c r="G74" s="9" t="s">
        <v>123</v>
      </c>
      <c r="H74" s="17" t="s">
        <v>126</v>
      </c>
    </row>
    <row r="75" spans="1:8" x14ac:dyDescent="0.15">
      <c r="A75" s="12">
        <v>74</v>
      </c>
      <c r="B75" s="5" t="s">
        <v>0</v>
      </c>
      <c r="C75" s="5" t="s">
        <v>113</v>
      </c>
      <c r="D75" s="5" t="s">
        <v>74</v>
      </c>
      <c r="E75" s="9" t="s">
        <v>118</v>
      </c>
      <c r="F75" s="90"/>
      <c r="G75" s="9" t="s">
        <v>124</v>
      </c>
      <c r="H75" s="17">
        <v>0.67</v>
      </c>
    </row>
    <row r="76" spans="1:8" x14ac:dyDescent="0.15">
      <c r="A76" s="12">
        <v>75</v>
      </c>
      <c r="B76" s="5" t="s">
        <v>0</v>
      </c>
      <c r="C76" s="5" t="s">
        <v>113</v>
      </c>
      <c r="D76" s="5" t="s">
        <v>75</v>
      </c>
      <c r="E76" s="9" t="s">
        <v>118</v>
      </c>
      <c r="F76" s="90"/>
      <c r="G76" s="9"/>
      <c r="H76" s="17">
        <v>1.19</v>
      </c>
    </row>
    <row r="77" spans="1:8" x14ac:dyDescent="0.15">
      <c r="A77" s="12">
        <v>76</v>
      </c>
      <c r="B77" s="5" t="s">
        <v>0</v>
      </c>
      <c r="C77" s="5" t="s">
        <v>113</v>
      </c>
      <c r="D77" s="5" t="s">
        <v>76</v>
      </c>
      <c r="E77" s="9" t="s">
        <v>118</v>
      </c>
      <c r="F77" s="90"/>
      <c r="G77" s="9"/>
      <c r="H77" s="17">
        <v>1.83</v>
      </c>
    </row>
    <row r="78" spans="1:8" x14ac:dyDescent="0.15">
      <c r="A78" s="12">
        <v>77</v>
      </c>
      <c r="B78" s="5" t="s">
        <v>0</v>
      </c>
      <c r="C78" s="5" t="s">
        <v>113</v>
      </c>
      <c r="D78" s="5" t="s">
        <v>77</v>
      </c>
      <c r="E78" s="9" t="s">
        <v>118</v>
      </c>
      <c r="F78" s="90"/>
      <c r="G78" s="9"/>
      <c r="H78" s="17">
        <v>0.45</v>
      </c>
    </row>
    <row r="79" spans="1:8" x14ac:dyDescent="0.15">
      <c r="A79" s="12">
        <v>78</v>
      </c>
      <c r="B79" s="5" t="s">
        <v>0</v>
      </c>
      <c r="C79" s="5" t="s">
        <v>113</v>
      </c>
      <c r="D79" s="5" t="s">
        <v>78</v>
      </c>
      <c r="E79" s="9" t="s">
        <v>118</v>
      </c>
      <c r="F79" s="91" t="s">
        <v>166</v>
      </c>
      <c r="G79" s="9"/>
      <c r="H79" s="17" t="s">
        <v>126</v>
      </c>
    </row>
    <row r="80" spans="1:8" x14ac:dyDescent="0.15">
      <c r="A80" s="12">
        <v>79</v>
      </c>
      <c r="B80" s="5" t="s">
        <v>0</v>
      </c>
      <c r="C80" s="5" t="s">
        <v>113</v>
      </c>
      <c r="D80" s="5" t="s">
        <v>79</v>
      </c>
      <c r="E80" s="9" t="s">
        <v>118</v>
      </c>
      <c r="F80" s="90"/>
      <c r="G80" s="9"/>
      <c r="H80" s="17" t="s">
        <v>126</v>
      </c>
    </row>
    <row r="81" spans="1:8" x14ac:dyDescent="0.15">
      <c r="A81" s="12">
        <v>80</v>
      </c>
      <c r="B81" s="5" t="s">
        <v>0</v>
      </c>
      <c r="C81" s="5" t="s">
        <v>113</v>
      </c>
      <c r="D81" s="5" t="s">
        <v>80</v>
      </c>
      <c r="E81" s="9" t="s">
        <v>118</v>
      </c>
      <c r="F81" s="90"/>
      <c r="G81" s="9"/>
      <c r="H81" s="17">
        <v>0.68</v>
      </c>
    </row>
    <row r="82" spans="1:8" x14ac:dyDescent="0.15">
      <c r="A82" s="12">
        <v>81</v>
      </c>
      <c r="B82" s="5" t="s">
        <v>0</v>
      </c>
      <c r="C82" s="5" t="s">
        <v>113</v>
      </c>
      <c r="D82" s="5" t="s">
        <v>81</v>
      </c>
      <c r="E82" s="9" t="s">
        <v>118</v>
      </c>
      <c r="F82" s="91" t="s">
        <v>166</v>
      </c>
      <c r="G82" s="9"/>
      <c r="H82" s="17">
        <v>0.36</v>
      </c>
    </row>
    <row r="83" spans="1:8" x14ac:dyDescent="0.15">
      <c r="A83" s="12">
        <v>82</v>
      </c>
      <c r="B83" s="5" t="s">
        <v>0</v>
      </c>
      <c r="C83" s="5" t="s">
        <v>114</v>
      </c>
      <c r="D83" s="5" t="s">
        <v>82</v>
      </c>
      <c r="E83" s="9" t="s">
        <v>118</v>
      </c>
      <c r="F83" s="90"/>
      <c r="G83" s="9"/>
      <c r="H83" s="17">
        <v>0.85</v>
      </c>
    </row>
    <row r="84" spans="1:8" x14ac:dyDescent="0.15">
      <c r="A84" s="12">
        <v>83</v>
      </c>
      <c r="B84" s="5" t="s">
        <v>0</v>
      </c>
      <c r="C84" s="5" t="s">
        <v>114</v>
      </c>
      <c r="D84" s="5" t="s">
        <v>83</v>
      </c>
      <c r="E84" s="9" t="s">
        <v>118</v>
      </c>
      <c r="F84" s="90"/>
      <c r="G84" s="9"/>
      <c r="H84" s="17">
        <v>0.73</v>
      </c>
    </row>
    <row r="85" spans="1:8" x14ac:dyDescent="0.15">
      <c r="A85" s="12">
        <v>84</v>
      </c>
      <c r="B85" s="5" t="s">
        <v>0</v>
      </c>
      <c r="C85" s="5" t="s">
        <v>114</v>
      </c>
      <c r="D85" s="5" t="s">
        <v>84</v>
      </c>
      <c r="E85" s="9" t="s">
        <v>118</v>
      </c>
      <c r="F85" s="90"/>
      <c r="G85" s="9"/>
      <c r="H85" s="17" t="s">
        <v>126</v>
      </c>
    </row>
    <row r="86" spans="1:8" x14ac:dyDescent="0.15">
      <c r="A86" s="12">
        <v>85</v>
      </c>
      <c r="B86" s="5" t="s">
        <v>0</v>
      </c>
      <c r="C86" s="5" t="s">
        <v>114</v>
      </c>
      <c r="D86" s="5" t="s">
        <v>85</v>
      </c>
      <c r="E86" s="9" t="s">
        <v>118</v>
      </c>
      <c r="F86" s="90"/>
      <c r="G86" s="9"/>
      <c r="H86" s="17">
        <v>1.75</v>
      </c>
    </row>
    <row r="87" spans="1:8" x14ac:dyDescent="0.15">
      <c r="A87" s="12">
        <v>86</v>
      </c>
      <c r="B87" s="5" t="s">
        <v>0</v>
      </c>
      <c r="C87" s="5" t="s">
        <v>114</v>
      </c>
      <c r="D87" s="5" t="s">
        <v>86</v>
      </c>
      <c r="E87" s="9" t="s">
        <v>118</v>
      </c>
      <c r="F87" s="90"/>
      <c r="G87" s="9"/>
      <c r="H87" s="17">
        <v>1.95</v>
      </c>
    </row>
    <row r="88" spans="1:8" x14ac:dyDescent="0.15">
      <c r="A88" s="12">
        <v>87</v>
      </c>
      <c r="B88" s="5" t="s">
        <v>0</v>
      </c>
      <c r="C88" s="5" t="s">
        <v>114</v>
      </c>
      <c r="D88" s="5" t="s">
        <v>87</v>
      </c>
      <c r="E88" s="9" t="s">
        <v>118</v>
      </c>
      <c r="F88" s="90"/>
      <c r="G88" s="9"/>
      <c r="H88" s="17">
        <v>1.62</v>
      </c>
    </row>
    <row r="89" spans="1:8" x14ac:dyDescent="0.15">
      <c r="A89" s="12">
        <v>88</v>
      </c>
      <c r="B89" s="5" t="s">
        <v>0</v>
      </c>
      <c r="C89" s="5" t="s">
        <v>114</v>
      </c>
      <c r="D89" s="5" t="s">
        <v>88</v>
      </c>
      <c r="E89" s="9" t="s">
        <v>118</v>
      </c>
      <c r="F89" s="90"/>
      <c r="G89" s="9"/>
      <c r="H89" s="17">
        <v>1.24</v>
      </c>
    </row>
    <row r="90" spans="1:8" x14ac:dyDescent="0.15">
      <c r="A90" s="12">
        <v>89</v>
      </c>
      <c r="B90" s="5" t="s">
        <v>0</v>
      </c>
      <c r="C90" s="5" t="s">
        <v>114</v>
      </c>
      <c r="D90" s="5" t="s">
        <v>89</v>
      </c>
      <c r="E90" s="9" t="s">
        <v>118</v>
      </c>
      <c r="F90" s="90"/>
      <c r="G90" s="9" t="s">
        <v>124</v>
      </c>
      <c r="H90" s="17">
        <v>1.36</v>
      </c>
    </row>
    <row r="91" spans="1:8" x14ac:dyDescent="0.15">
      <c r="A91" s="12">
        <v>90</v>
      </c>
      <c r="B91" s="5" t="s">
        <v>0</v>
      </c>
      <c r="C91" s="5" t="s">
        <v>114</v>
      </c>
      <c r="D91" s="5" t="s">
        <v>90</v>
      </c>
      <c r="E91" s="9" t="s">
        <v>118</v>
      </c>
      <c r="F91" s="90"/>
      <c r="G91" s="9" t="s">
        <v>124</v>
      </c>
      <c r="H91" s="17">
        <v>2.77</v>
      </c>
    </row>
    <row r="92" spans="1:8" x14ac:dyDescent="0.15">
      <c r="A92" s="12">
        <v>91</v>
      </c>
      <c r="B92" s="5" t="s">
        <v>0</v>
      </c>
      <c r="C92" s="5" t="s">
        <v>114</v>
      </c>
      <c r="D92" s="5" t="s">
        <v>91</v>
      </c>
      <c r="E92" s="9" t="s">
        <v>118</v>
      </c>
      <c r="F92" s="90"/>
      <c r="G92" s="9"/>
      <c r="H92" s="17">
        <v>0.38</v>
      </c>
    </row>
    <row r="93" spans="1:8" x14ac:dyDescent="0.15">
      <c r="A93" s="12">
        <v>92</v>
      </c>
      <c r="B93" s="5" t="s">
        <v>0</v>
      </c>
      <c r="C93" s="5" t="s">
        <v>114</v>
      </c>
      <c r="D93" s="5" t="s">
        <v>92</v>
      </c>
      <c r="E93" s="9" t="s">
        <v>118</v>
      </c>
      <c r="F93" s="90"/>
      <c r="G93" s="9" t="s">
        <v>124</v>
      </c>
      <c r="H93" s="17">
        <v>0.76</v>
      </c>
    </row>
    <row r="94" spans="1:8" x14ac:dyDescent="0.15">
      <c r="A94" s="12">
        <v>93</v>
      </c>
      <c r="B94" s="5" t="s">
        <v>0</v>
      </c>
      <c r="C94" s="5" t="s">
        <v>114</v>
      </c>
      <c r="D94" s="5" t="s">
        <v>93</v>
      </c>
      <c r="E94" s="9" t="s">
        <v>118</v>
      </c>
      <c r="F94" s="90"/>
      <c r="G94" s="9"/>
      <c r="H94" s="17">
        <v>1.32</v>
      </c>
    </row>
    <row r="95" spans="1:8" x14ac:dyDescent="0.15">
      <c r="A95" s="12">
        <v>94</v>
      </c>
      <c r="B95" s="5" t="s">
        <v>0</v>
      </c>
      <c r="C95" s="5" t="s">
        <v>114</v>
      </c>
      <c r="D95" s="5" t="s">
        <v>94</v>
      </c>
      <c r="E95" s="9" t="s">
        <v>118</v>
      </c>
      <c r="F95" s="90"/>
      <c r="G95" s="9"/>
      <c r="H95" s="17">
        <v>0.23</v>
      </c>
    </row>
    <row r="96" spans="1:8" x14ac:dyDescent="0.15">
      <c r="A96" s="12">
        <v>95</v>
      </c>
      <c r="B96" s="5" t="s">
        <v>0</v>
      </c>
      <c r="C96" s="5" t="s">
        <v>114</v>
      </c>
      <c r="D96" s="5" t="s">
        <v>95</v>
      </c>
      <c r="E96" s="9" t="s">
        <v>118</v>
      </c>
      <c r="F96" s="90"/>
      <c r="G96" s="9"/>
      <c r="H96" s="17">
        <v>0.14000000000000001</v>
      </c>
    </row>
    <row r="97" spans="1:8" x14ac:dyDescent="0.15">
      <c r="A97" s="12">
        <v>96</v>
      </c>
      <c r="B97" s="5" t="s">
        <v>0</v>
      </c>
      <c r="C97" s="5" t="s">
        <v>114</v>
      </c>
      <c r="D97" s="5" t="s">
        <v>96</v>
      </c>
      <c r="E97" s="9" t="s">
        <v>118</v>
      </c>
      <c r="F97" s="90"/>
      <c r="G97" s="9"/>
      <c r="H97" s="17">
        <v>2.75</v>
      </c>
    </row>
    <row r="98" spans="1:8" x14ac:dyDescent="0.15">
      <c r="A98" s="12">
        <v>97</v>
      </c>
      <c r="B98" s="5" t="s">
        <v>0</v>
      </c>
      <c r="C98" s="5" t="s">
        <v>114</v>
      </c>
      <c r="D98" s="5" t="s">
        <v>97</v>
      </c>
      <c r="E98" s="9" t="s">
        <v>118</v>
      </c>
      <c r="F98" s="90"/>
      <c r="G98" s="9"/>
      <c r="H98" s="17">
        <v>2.2999999999999998</v>
      </c>
    </row>
    <row r="99" spans="1:8" x14ac:dyDescent="0.15">
      <c r="A99" s="12">
        <v>98</v>
      </c>
      <c r="B99" s="5" t="s">
        <v>0</v>
      </c>
      <c r="C99" s="5" t="s">
        <v>114</v>
      </c>
      <c r="D99" s="5" t="s">
        <v>98</v>
      </c>
      <c r="E99" s="9" t="s">
        <v>118</v>
      </c>
      <c r="F99" s="90"/>
      <c r="G99" s="9"/>
      <c r="H99" s="17">
        <v>1.8</v>
      </c>
    </row>
    <row r="100" spans="1:8" x14ac:dyDescent="0.15">
      <c r="A100" s="12">
        <v>99</v>
      </c>
      <c r="B100" s="5" t="s">
        <v>0</v>
      </c>
      <c r="C100" s="5" t="s">
        <v>114</v>
      </c>
      <c r="D100" s="5" t="s">
        <v>99</v>
      </c>
      <c r="E100" s="9" t="s">
        <v>118</v>
      </c>
      <c r="F100" s="90"/>
      <c r="G100" s="9"/>
      <c r="H100" s="17">
        <v>1.83</v>
      </c>
    </row>
    <row r="101" spans="1:8" x14ac:dyDescent="0.15">
      <c r="A101" s="12">
        <v>100</v>
      </c>
      <c r="B101" s="5" t="s">
        <v>0</v>
      </c>
      <c r="C101" s="5" t="s">
        <v>114</v>
      </c>
      <c r="D101" s="5" t="s">
        <v>100</v>
      </c>
      <c r="E101" s="9" t="s">
        <v>118</v>
      </c>
      <c r="F101" s="90"/>
      <c r="G101" s="9"/>
      <c r="H101" s="17">
        <v>0.64</v>
      </c>
    </row>
    <row r="102" spans="1:8" x14ac:dyDescent="0.15">
      <c r="A102" s="12">
        <v>101</v>
      </c>
      <c r="B102" s="5" t="s">
        <v>0</v>
      </c>
      <c r="C102" s="5" t="s">
        <v>114</v>
      </c>
      <c r="D102" s="5" t="s">
        <v>101</v>
      </c>
      <c r="E102" s="9" t="s">
        <v>118</v>
      </c>
      <c r="F102" s="90"/>
      <c r="G102" s="9"/>
      <c r="H102" s="17">
        <v>0.41</v>
      </c>
    </row>
    <row r="103" spans="1:8" x14ac:dyDescent="0.15">
      <c r="A103" s="12">
        <v>102</v>
      </c>
      <c r="B103" s="5" t="s">
        <v>0</v>
      </c>
      <c r="C103" s="5" t="s">
        <v>114</v>
      </c>
      <c r="D103" s="5" t="s">
        <v>102</v>
      </c>
      <c r="E103" s="9" t="s">
        <v>118</v>
      </c>
      <c r="F103" s="90"/>
      <c r="G103" s="9" t="s">
        <v>124</v>
      </c>
      <c r="H103" s="17">
        <v>0.92</v>
      </c>
    </row>
    <row r="104" spans="1:8" x14ac:dyDescent="0.15">
      <c r="A104" s="12">
        <v>103</v>
      </c>
      <c r="B104" s="5" t="s">
        <v>0</v>
      </c>
      <c r="C104" s="5" t="s">
        <v>114</v>
      </c>
      <c r="D104" s="5" t="s">
        <v>103</v>
      </c>
      <c r="E104" s="9" t="s">
        <v>118</v>
      </c>
      <c r="F104" s="90"/>
      <c r="G104" s="9"/>
      <c r="H104" s="17">
        <v>1.63</v>
      </c>
    </row>
    <row r="105" spans="1:8" x14ac:dyDescent="0.15">
      <c r="A105" s="12">
        <v>104</v>
      </c>
      <c r="B105" s="5" t="s">
        <v>0</v>
      </c>
      <c r="C105" s="5" t="s">
        <v>114</v>
      </c>
      <c r="D105" s="5" t="s">
        <v>104</v>
      </c>
      <c r="E105" s="9" t="s">
        <v>118</v>
      </c>
      <c r="F105" s="90"/>
      <c r="G105" s="9"/>
      <c r="H105" s="17">
        <v>0.85</v>
      </c>
    </row>
    <row r="106" spans="1:8" x14ac:dyDescent="0.15">
      <c r="A106" s="12">
        <v>105</v>
      </c>
      <c r="B106" s="5" t="s">
        <v>0</v>
      </c>
      <c r="C106" s="5" t="s">
        <v>114</v>
      </c>
      <c r="D106" s="5" t="s">
        <v>105</v>
      </c>
      <c r="E106" s="9" t="s">
        <v>118</v>
      </c>
      <c r="F106" s="90"/>
      <c r="G106" s="9"/>
      <c r="H106" s="17">
        <v>1.3</v>
      </c>
    </row>
    <row r="107" spans="1:8" x14ac:dyDescent="0.15">
      <c r="A107" s="12">
        <v>106</v>
      </c>
      <c r="B107" s="5" t="s">
        <v>0</v>
      </c>
      <c r="C107" s="5" t="s">
        <v>114</v>
      </c>
      <c r="D107" s="5" t="s">
        <v>106</v>
      </c>
      <c r="E107" s="9" t="s">
        <v>118</v>
      </c>
      <c r="F107" s="90"/>
      <c r="G107" s="9"/>
      <c r="H107" s="17">
        <v>2.27</v>
      </c>
    </row>
    <row r="108" spans="1:8" x14ac:dyDescent="0.15">
      <c r="A108" s="12">
        <v>107</v>
      </c>
      <c r="B108" s="5" t="s">
        <v>0</v>
      </c>
      <c r="C108" s="5" t="s">
        <v>114</v>
      </c>
      <c r="D108" s="5" t="s">
        <v>107</v>
      </c>
      <c r="E108" s="9" t="s">
        <v>118</v>
      </c>
      <c r="F108" s="90"/>
      <c r="G108" s="9"/>
      <c r="H108" s="17">
        <v>0.54</v>
      </c>
    </row>
    <row r="109" spans="1:8" x14ac:dyDescent="0.15">
      <c r="A109" s="12">
        <v>108</v>
      </c>
      <c r="B109" s="5" t="s">
        <v>0</v>
      </c>
      <c r="C109" s="5" t="s">
        <v>114</v>
      </c>
      <c r="D109" s="5" t="s">
        <v>108</v>
      </c>
      <c r="E109" s="9" t="s">
        <v>118</v>
      </c>
      <c r="F109" s="90"/>
      <c r="G109" s="9"/>
      <c r="H109" s="17">
        <v>3</v>
      </c>
    </row>
    <row r="110" spans="1:8" x14ac:dyDescent="0.15">
      <c r="A110" s="12">
        <v>109</v>
      </c>
      <c r="B110" s="5" t="s">
        <v>0</v>
      </c>
      <c r="C110" s="5" t="s">
        <v>114</v>
      </c>
      <c r="D110" s="5" t="s">
        <v>109</v>
      </c>
      <c r="E110" s="9" t="s">
        <v>118</v>
      </c>
      <c r="F110" s="90"/>
      <c r="G110" s="9"/>
      <c r="H110" s="17">
        <v>1.48</v>
      </c>
    </row>
    <row r="111" spans="1:8" x14ac:dyDescent="0.15">
      <c r="A111" s="12">
        <v>110</v>
      </c>
      <c r="B111" s="5" t="s">
        <v>0</v>
      </c>
      <c r="C111" s="5" t="s">
        <v>114</v>
      </c>
      <c r="D111" s="5" t="s">
        <v>110</v>
      </c>
      <c r="E111" s="9" t="s">
        <v>118</v>
      </c>
      <c r="F111" s="90"/>
      <c r="G111" s="9" t="s">
        <v>124</v>
      </c>
      <c r="H111" s="17" t="s">
        <v>126</v>
      </c>
    </row>
    <row r="112" spans="1:8" x14ac:dyDescent="0.15">
      <c r="A112" s="12">
        <v>111</v>
      </c>
      <c r="B112" s="5" t="s">
        <v>0</v>
      </c>
      <c r="C112" s="5" t="s">
        <v>114</v>
      </c>
      <c r="D112" s="5" t="s">
        <v>111</v>
      </c>
      <c r="E112" s="9" t="s">
        <v>118</v>
      </c>
      <c r="F112" s="91" t="s">
        <v>166</v>
      </c>
      <c r="G112" s="9"/>
      <c r="H112" s="17">
        <v>0.91</v>
      </c>
    </row>
    <row r="113" spans="1:8" ht="14" thickBot="1" x14ac:dyDescent="0.2">
      <c r="A113" s="13">
        <v>112</v>
      </c>
      <c r="B113" s="6" t="s">
        <v>0</v>
      </c>
      <c r="C113" s="6" t="s">
        <v>114</v>
      </c>
      <c r="D113" s="6" t="s">
        <v>112</v>
      </c>
      <c r="E113" s="14" t="s">
        <v>118</v>
      </c>
      <c r="F113" s="92"/>
      <c r="G113" s="14"/>
      <c r="H113" s="18">
        <v>1.3</v>
      </c>
    </row>
  </sheetData>
  <pageMargins left="0.7" right="0.7" top="0.75" bottom="0.75" header="0.3" footer="0.3"/>
  <pageSetup paperSize="9" scale="8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activeCell="G18" sqref="G18"/>
    </sheetView>
  </sheetViews>
  <sheetFormatPr baseColWidth="10" defaultRowHeight="15" x14ac:dyDescent="0.2"/>
  <cols>
    <col min="1" max="1" width="20.6640625" customWidth="1"/>
    <col min="2" max="2" width="19.5" customWidth="1"/>
    <col min="3" max="5" width="11.83203125" customWidth="1"/>
    <col min="6" max="6" width="12.1640625" customWidth="1"/>
  </cols>
  <sheetData>
    <row r="1" spans="1:6" ht="16" thickBot="1" x14ac:dyDescent="0.25">
      <c r="A1" s="23" t="s">
        <v>141</v>
      </c>
      <c r="B1" s="24"/>
      <c r="C1" s="25" t="s">
        <v>138</v>
      </c>
      <c r="D1" s="25" t="s">
        <v>138</v>
      </c>
      <c r="E1" s="25" t="s">
        <v>138</v>
      </c>
      <c r="F1" s="25" t="s">
        <v>138</v>
      </c>
    </row>
    <row r="2" spans="1:6" x14ac:dyDescent="0.2">
      <c r="A2" s="26" t="s">
        <v>142</v>
      </c>
      <c r="B2" s="27" t="s">
        <v>143</v>
      </c>
      <c r="C2" s="28">
        <v>1</v>
      </c>
      <c r="D2" s="28">
        <v>2</v>
      </c>
      <c r="E2" s="28">
        <v>3</v>
      </c>
      <c r="F2" s="28">
        <v>4</v>
      </c>
    </row>
    <row r="3" spans="1:6" x14ac:dyDescent="0.2">
      <c r="A3" s="29" t="s">
        <v>144</v>
      </c>
      <c r="B3" s="29"/>
      <c r="C3" s="30" t="s">
        <v>163</v>
      </c>
      <c r="D3" s="31" t="s">
        <v>163</v>
      </c>
      <c r="E3" s="31" t="s">
        <v>145</v>
      </c>
      <c r="F3" s="31" t="s">
        <v>145</v>
      </c>
    </row>
    <row r="4" spans="1:6" ht="14.25" customHeight="1" x14ac:dyDescent="0.2">
      <c r="A4" s="29" t="s">
        <v>146</v>
      </c>
      <c r="B4" s="29"/>
      <c r="C4" s="32" t="s">
        <v>192</v>
      </c>
      <c r="D4" s="33" t="s">
        <v>191</v>
      </c>
      <c r="E4" s="33" t="s">
        <v>193</v>
      </c>
      <c r="F4" s="33" t="s">
        <v>194</v>
      </c>
    </row>
    <row r="5" spans="1:6" ht="16" thickBot="1" x14ac:dyDescent="0.25">
      <c r="A5" s="34" t="s">
        <v>147</v>
      </c>
      <c r="B5" s="35"/>
      <c r="C5" s="36" t="s">
        <v>148</v>
      </c>
      <c r="D5" s="37" t="s">
        <v>148</v>
      </c>
      <c r="E5" s="37" t="s">
        <v>148</v>
      </c>
      <c r="F5" s="37" t="s">
        <v>164</v>
      </c>
    </row>
    <row r="6" spans="1:6" x14ac:dyDescent="0.2">
      <c r="A6" s="38" t="s">
        <v>149</v>
      </c>
      <c r="B6" s="133"/>
      <c r="C6" s="39" t="s">
        <v>182</v>
      </c>
      <c r="D6" s="39" t="s">
        <v>182</v>
      </c>
      <c r="E6" s="39" t="s">
        <v>182</v>
      </c>
      <c r="F6" s="39" t="s">
        <v>182</v>
      </c>
    </row>
    <row r="7" spans="1:6" x14ac:dyDescent="0.2">
      <c r="A7" s="40" t="s">
        <v>150</v>
      </c>
      <c r="B7" s="134"/>
      <c r="C7" s="41" t="s">
        <v>184</v>
      </c>
      <c r="D7" s="41" t="s">
        <v>184</v>
      </c>
      <c r="E7" s="41" t="s">
        <v>184</v>
      </c>
      <c r="F7" s="41" t="s">
        <v>184</v>
      </c>
    </row>
    <row r="8" spans="1:6" ht="16" thickBot="1" x14ac:dyDescent="0.25">
      <c r="A8" s="42" t="s">
        <v>179</v>
      </c>
      <c r="B8" s="135"/>
      <c r="C8" s="43" t="s">
        <v>186</v>
      </c>
      <c r="D8" s="43" t="s">
        <v>186</v>
      </c>
      <c r="E8" s="43" t="s">
        <v>186</v>
      </c>
      <c r="F8" s="43" t="s">
        <v>186</v>
      </c>
    </row>
    <row r="9" spans="1:6" ht="16" thickBot="1" x14ac:dyDescent="0.25">
      <c r="A9" s="44"/>
      <c r="B9" s="45"/>
      <c r="C9" s="46"/>
      <c r="D9" s="47"/>
      <c r="E9" s="47"/>
      <c r="F9" s="47"/>
    </row>
    <row r="10" spans="1:6" ht="16" thickBot="1" x14ac:dyDescent="0.25">
      <c r="A10" s="136" t="s">
        <v>151</v>
      </c>
      <c r="B10" s="137"/>
      <c r="C10" s="48">
        <v>45978</v>
      </c>
      <c r="D10" s="48">
        <v>45978</v>
      </c>
      <c r="E10" s="48">
        <v>46000</v>
      </c>
      <c r="F10" s="48">
        <v>46000</v>
      </c>
    </row>
    <row r="11" spans="1:6" ht="16" thickBot="1" x14ac:dyDescent="0.25">
      <c r="A11" s="136" t="s">
        <v>152</v>
      </c>
      <c r="B11" s="137"/>
      <c r="C11" s="48">
        <v>46000</v>
      </c>
      <c r="D11" s="48">
        <v>46000</v>
      </c>
      <c r="E11" s="48">
        <v>46000</v>
      </c>
      <c r="F11" s="48">
        <v>46000</v>
      </c>
    </row>
    <row r="12" spans="1:6" ht="16" thickBot="1" x14ac:dyDescent="0.25">
      <c r="A12" s="49"/>
      <c r="B12" s="50" t="s">
        <v>153</v>
      </c>
      <c r="C12" s="24"/>
      <c r="D12" s="24"/>
      <c r="E12" s="24"/>
      <c r="F12" s="24"/>
    </row>
    <row r="13" spans="1:6" x14ac:dyDescent="0.2">
      <c r="A13" s="26" t="s">
        <v>165</v>
      </c>
      <c r="B13" s="51" t="s">
        <v>188</v>
      </c>
      <c r="C13" s="108">
        <v>0.68</v>
      </c>
      <c r="D13" s="109">
        <v>0.68</v>
      </c>
      <c r="E13" s="109">
        <v>0.57999999999999996</v>
      </c>
      <c r="F13" s="109">
        <v>0.64</v>
      </c>
    </row>
    <row r="14" spans="1:6" x14ac:dyDescent="0.2">
      <c r="A14" s="52" t="s">
        <v>154</v>
      </c>
      <c r="B14" s="53" t="s">
        <v>189</v>
      </c>
      <c r="C14" s="110">
        <v>1.48</v>
      </c>
      <c r="D14" s="111">
        <v>1.49</v>
      </c>
      <c r="E14" s="111">
        <v>1.43</v>
      </c>
      <c r="F14" s="111">
        <v>1.46</v>
      </c>
    </row>
    <row r="15" spans="1:6" ht="16" thickBot="1" x14ac:dyDescent="0.25">
      <c r="A15" s="54" t="s">
        <v>155</v>
      </c>
      <c r="B15" s="55" t="s">
        <v>190</v>
      </c>
      <c r="C15" s="112">
        <v>2.2000000000000002</v>
      </c>
      <c r="D15" s="113">
        <v>2.1800000000000002</v>
      </c>
      <c r="E15" s="113">
        <v>2.1</v>
      </c>
      <c r="F15" s="113">
        <v>2.16</v>
      </c>
    </row>
    <row r="16" spans="1:6" ht="16" thickTop="1" x14ac:dyDescent="0.2">
      <c r="A16" s="52" t="s">
        <v>156</v>
      </c>
      <c r="B16" s="133"/>
      <c r="C16" s="56"/>
      <c r="D16" s="56"/>
      <c r="E16" s="56"/>
      <c r="F16" s="56"/>
    </row>
    <row r="17" spans="1:6" ht="16" thickBot="1" x14ac:dyDescent="0.25">
      <c r="A17" s="34" t="s">
        <v>157</v>
      </c>
      <c r="B17" s="135"/>
      <c r="C17" s="57"/>
      <c r="D17" s="57"/>
      <c r="E17" s="57"/>
      <c r="F17" s="57"/>
    </row>
    <row r="18" spans="1:6" x14ac:dyDescent="0.2">
      <c r="A18" s="58"/>
      <c r="B18" s="59"/>
      <c r="C18" s="24"/>
      <c r="D18" s="60"/>
      <c r="E18" s="60"/>
      <c r="F18" s="60"/>
    </row>
    <row r="19" spans="1:6" x14ac:dyDescent="0.2">
      <c r="A19" s="58"/>
      <c r="B19" s="59"/>
      <c r="C19" s="60"/>
      <c r="D19" s="60"/>
      <c r="E19" s="60"/>
      <c r="F19" s="60"/>
    </row>
    <row r="20" spans="1:6" x14ac:dyDescent="0.2">
      <c r="A20" s="58"/>
      <c r="B20" s="59"/>
      <c r="C20" s="60"/>
      <c r="D20" s="60"/>
      <c r="E20" s="60"/>
      <c r="F20" s="60"/>
    </row>
    <row r="21" spans="1:6" x14ac:dyDescent="0.2">
      <c r="A21" s="58"/>
      <c r="B21" s="59"/>
      <c r="C21" s="60"/>
      <c r="D21" s="60"/>
      <c r="E21" s="60"/>
      <c r="F21" s="60"/>
    </row>
    <row r="22" spans="1:6" x14ac:dyDescent="0.2">
      <c r="A22" s="58"/>
      <c r="B22" s="59"/>
      <c r="C22" s="60"/>
      <c r="D22" s="60"/>
      <c r="E22" s="60"/>
      <c r="F22" s="60"/>
    </row>
    <row r="23" spans="1:6" ht="16" thickBot="1" x14ac:dyDescent="0.25">
      <c r="A23" s="24"/>
      <c r="B23" s="24"/>
      <c r="C23" s="24"/>
      <c r="D23" s="24"/>
      <c r="E23" s="24"/>
      <c r="F23" s="24"/>
    </row>
    <row r="24" spans="1:6" ht="16" thickBot="1" x14ac:dyDescent="0.25">
      <c r="A24" s="61"/>
      <c r="B24" s="62" t="s">
        <v>158</v>
      </c>
      <c r="C24" s="63" t="s">
        <v>159</v>
      </c>
      <c r="D24" s="64" t="s">
        <v>160</v>
      </c>
      <c r="E24" s="65" t="s">
        <v>161</v>
      </c>
      <c r="F24" s="65" t="s">
        <v>162</v>
      </c>
    </row>
    <row r="25" spans="1:6" x14ac:dyDescent="0.2">
      <c r="A25" s="52" t="s">
        <v>165</v>
      </c>
      <c r="B25" s="66">
        <f>IF(C13="","",AVERAGE(C13:F13))</f>
        <v>0.64500000000000002</v>
      </c>
      <c r="C25" s="67">
        <f>IF(C13="","",STDEVP(C13:F13))</f>
        <v>4.0926763859362288E-2</v>
      </c>
      <c r="D25" s="68">
        <f>IF(C25="","",C25/B25*100)</f>
        <v>6.3452347068778741</v>
      </c>
      <c r="E25" s="69">
        <f>IF(B25="","",B25+(2*C25))</f>
        <v>0.72685352771872458</v>
      </c>
      <c r="F25" s="70">
        <f>IF(B25="","",B25-(2*C25))</f>
        <v>0.56314647228127546</v>
      </c>
    </row>
    <row r="26" spans="1:6" x14ac:dyDescent="0.2">
      <c r="A26" s="52" t="s">
        <v>154</v>
      </c>
      <c r="B26" s="71">
        <f>IF(C14="","",AVERAGE(C14:F14))</f>
        <v>1.4649999999999999</v>
      </c>
      <c r="C26" s="72">
        <f>IF(C14="","",STDEVP(C14:F14))</f>
        <v>2.2912878474779221E-2</v>
      </c>
      <c r="D26" s="73">
        <f>IF(C26="","",C26/B26*100)</f>
        <v>1.5640190085173529</v>
      </c>
      <c r="E26" s="74">
        <f>IF(B26="","",B26+(2*C26))</f>
        <v>1.5108257569495582</v>
      </c>
      <c r="F26" s="75">
        <f>IF(B26="","",B26-(2*C26))</f>
        <v>1.4191742430504415</v>
      </c>
    </row>
    <row r="27" spans="1:6" x14ac:dyDescent="0.2">
      <c r="A27" s="76" t="s">
        <v>155</v>
      </c>
      <c r="B27" s="71">
        <f>IF(C15="","",AVERAGE(C15:F15))</f>
        <v>2.16</v>
      </c>
      <c r="C27" s="72">
        <f>IF(C15="","",STDEVP(C15:F15))</f>
        <v>3.7416573867739444E-2</v>
      </c>
      <c r="D27" s="73">
        <f>IF(C27="","",C27/B27*100)</f>
        <v>1.7322487901731223</v>
      </c>
      <c r="E27" s="74">
        <f>IF(B27="","",B27+(2*C27))</f>
        <v>2.234833147735479</v>
      </c>
      <c r="F27" s="75">
        <f>IF(B27="","",B27-(2*C27))</f>
        <v>2.0851668522645213</v>
      </c>
    </row>
    <row r="28" spans="1:6" x14ac:dyDescent="0.2">
      <c r="A28" s="52" t="s">
        <v>156</v>
      </c>
      <c r="B28" s="77" t="str">
        <f>IF(C16="","",AVERAGE(C16:C16))</f>
        <v/>
      </c>
      <c r="C28" s="78" t="str">
        <f>IF(C16="","",STDEVP(C16:C16))</f>
        <v/>
      </c>
      <c r="D28" s="73" t="str">
        <f>IF(C28="","",C28/B28*100)</f>
        <v/>
      </c>
      <c r="E28" s="79" t="str">
        <f>IF(B28="","",B28+(2*C28))</f>
        <v/>
      </c>
      <c r="F28" s="80" t="str">
        <f>IF(B28="","",B28-(2*C28))</f>
        <v/>
      </c>
    </row>
    <row r="29" spans="1:6" ht="16" thickBot="1" x14ac:dyDescent="0.25">
      <c r="A29" s="34" t="s">
        <v>157</v>
      </c>
      <c r="B29" s="81" t="str">
        <f>IF(C17="","",AVERAGE(C17:C17))</f>
        <v/>
      </c>
      <c r="C29" s="82" t="str">
        <f>IF(C17="","",STDEVP(C17:C17))</f>
        <v/>
      </c>
      <c r="D29" s="83" t="str">
        <f>IF(C29="","",C29/B29*100)</f>
        <v/>
      </c>
      <c r="E29" s="84" t="str">
        <f>IF(B29="","",B29+(2*C29))</f>
        <v/>
      </c>
      <c r="F29" s="85" t="str">
        <f>IF(B29="","",B29-(2*C29))</f>
        <v/>
      </c>
    </row>
    <row r="30" spans="1:6" x14ac:dyDescent="0.2">
      <c r="A30" s="24"/>
      <c r="B30" s="24"/>
      <c r="C30" s="24"/>
      <c r="D30" s="24"/>
      <c r="E30" s="24"/>
      <c r="F30" s="24"/>
    </row>
    <row r="31" spans="1:6" x14ac:dyDescent="0.2">
      <c r="A31" s="24"/>
      <c r="B31" s="24"/>
      <c r="C31" s="24"/>
      <c r="D31" s="24"/>
      <c r="E31" s="24"/>
      <c r="F31" s="24"/>
    </row>
    <row r="32" spans="1:6" x14ac:dyDescent="0.2">
      <c r="A32" s="24"/>
      <c r="B32" s="24"/>
      <c r="C32" s="24"/>
      <c r="D32" s="24"/>
      <c r="E32" s="24"/>
      <c r="F32" s="24"/>
    </row>
    <row r="33" spans="1:6" x14ac:dyDescent="0.2">
      <c r="A33" s="24"/>
      <c r="B33" s="24"/>
      <c r="C33" s="24"/>
      <c r="D33" s="24"/>
      <c r="E33" s="24"/>
      <c r="F33" s="24"/>
    </row>
    <row r="34" spans="1:6" x14ac:dyDescent="0.2">
      <c r="A34" s="24"/>
      <c r="B34" s="24"/>
      <c r="C34" s="24"/>
      <c r="D34" s="24"/>
      <c r="E34" s="24"/>
      <c r="F34" s="24"/>
    </row>
    <row r="35" spans="1:6" x14ac:dyDescent="0.2">
      <c r="A35" s="24"/>
      <c r="B35" s="24"/>
      <c r="C35" s="24"/>
      <c r="D35" s="24"/>
      <c r="E35" s="24"/>
      <c r="F35" s="24"/>
    </row>
  </sheetData>
  <mergeCells count="4">
    <mergeCell ref="B6:B8"/>
    <mergeCell ref="A10:B10"/>
    <mergeCell ref="A11:B11"/>
    <mergeCell ref="B16:B17"/>
  </mergeCells>
  <dataValidations count="1">
    <dataValidation type="list" allowBlank="1" showInputMessage="1" showErrorMessage="1" sqref="C65522:F65522 C983026:F983026 C917490:F917490 C851954:F851954 C786418:F786418 C720882:F720882 C655346:F655346 C589810:F589810 C524274:F524274 C458738:F458738 C393202:F393202 C327666:F327666 C262130:F262130 C196594:F196594 C131058:F131058 C1:F1" xr:uid="{00000000-0002-0000-0300-000000000000}">
      <formula1>#REF!</formula1>
    </dataValidation>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components</vt:lpstr>
      <vt:lpstr>process slip</vt:lpstr>
      <vt:lpstr>ADRECMO </vt:lpstr>
      <vt:lpstr>QC Hapto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malha.sadoune@outlook.fr</dc:creator>
  <cp:lastModifiedBy>Antoine Kimmoun</cp:lastModifiedBy>
  <cp:lastPrinted>2024-11-04T12:58:35Z</cp:lastPrinted>
  <dcterms:created xsi:type="dcterms:W3CDTF">2024-09-18T14:35:04Z</dcterms:created>
  <dcterms:modified xsi:type="dcterms:W3CDTF">2025-12-18T08:53:27Z</dcterms:modified>
</cp:coreProperties>
</file>